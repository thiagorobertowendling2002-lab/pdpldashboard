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rove\Desktop\"/>
    </mc:Choice>
  </mc:AlternateContent>
  <xr:revisionPtr revIDLastSave="0" documentId="13_ncr:1_{D5A00D3C-04B4-45E5-9B98-8B37216F8322}" xr6:coauthVersionLast="47" xr6:coauthVersionMax="47" xr10:uidLastSave="{00000000-0000-0000-0000-000000000000}"/>
  <bookViews>
    <workbookView xWindow="-108" yWindow="-108" windowWidth="23256" windowHeight="13896" activeTab="2" xr2:uid="{ACFFCFEC-7A4E-414F-BEBD-94CC61650AA2}"/>
  </bookViews>
  <sheets>
    <sheet name="DADOS 1" sheetId="1" r:id="rId1"/>
    <sheet name="TABELA 1" sheetId="3" r:id="rId2"/>
    <sheet name="TABELAS" sheetId="6" r:id="rId3"/>
  </sheets>
  <definedNames>
    <definedName name="_xlchart.v1.0" hidden="1">TABELAS!$C$338:$C$342</definedName>
    <definedName name="_xlchart.v1.1" hidden="1">TABELAS!$D$337</definedName>
    <definedName name="_xlchart.v1.2" hidden="1">TABELAS!$D$338:$D$342</definedName>
    <definedName name="SegmentaçãodeDados_ESTRATO_DE_PRODUÇÃO__L_DIA">#N/A</definedName>
    <definedName name="SegmentaçãodeDados_Município">#N/A</definedName>
    <definedName name="SegmentaçãodeDados_TIPOLOGIA_DA_PRODUÇÃO_DE_LEITE">#N/A</definedName>
  </definedNames>
  <calcPr calcId="191029"/>
  <pivotCaches>
    <pivotCache cacheId="8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76" i="6" l="1"/>
  <c r="C875" i="6"/>
  <c r="C874" i="6"/>
  <c r="C873" i="6"/>
  <c r="D874" i="6"/>
  <c r="D875" i="6"/>
  <c r="D876" i="6"/>
  <c r="D873" i="6"/>
  <c r="C866" i="6"/>
  <c r="C865" i="6"/>
  <c r="D866" i="6"/>
  <c r="D865" i="6"/>
  <c r="C858" i="6"/>
  <c r="C857" i="6"/>
  <c r="D858" i="6"/>
  <c r="D857" i="6"/>
  <c r="C850" i="6"/>
  <c r="D850" i="6"/>
  <c r="C843" i="6"/>
  <c r="C842" i="6"/>
  <c r="C841" i="6"/>
  <c r="D842" i="6"/>
  <c r="D843" i="6"/>
  <c r="D841" i="6"/>
  <c r="C820" i="6"/>
  <c r="C819" i="6"/>
  <c r="C818" i="6"/>
  <c r="C817" i="6"/>
  <c r="D818" i="6"/>
  <c r="D819" i="6"/>
  <c r="D820" i="6"/>
  <c r="D817" i="6"/>
  <c r="C810" i="6"/>
  <c r="C809" i="6"/>
  <c r="D810" i="6"/>
  <c r="D809" i="6"/>
  <c r="D762" i="6"/>
  <c r="D763" i="6"/>
  <c r="D764" i="6"/>
  <c r="D765" i="6"/>
  <c r="D766" i="6"/>
  <c r="D767" i="6"/>
  <c r="D761" i="6"/>
  <c r="C754" i="6"/>
  <c r="C753" i="6"/>
  <c r="C752" i="6"/>
  <c r="C751" i="6"/>
  <c r="D752" i="6"/>
  <c r="D753" i="6"/>
  <c r="D754" i="6"/>
  <c r="D751" i="6"/>
  <c r="C729" i="6"/>
  <c r="C728" i="6"/>
  <c r="C727" i="6"/>
  <c r="D728" i="6"/>
  <c r="D729" i="6"/>
  <c r="D727" i="6"/>
  <c r="D705" i="6"/>
  <c r="D704" i="6"/>
  <c r="D703" i="6"/>
  <c r="D702" i="6"/>
  <c r="D701" i="6"/>
  <c r="D449" i="6"/>
  <c r="D448" i="6"/>
  <c r="D447" i="6"/>
  <c r="D446" i="6"/>
  <c r="D445" i="6"/>
  <c r="D444" i="6"/>
  <c r="D443" i="6"/>
  <c r="D442" i="6"/>
  <c r="D441" i="6"/>
  <c r="D434" i="6"/>
  <c r="D433" i="6"/>
  <c r="D427" i="6"/>
  <c r="D426" i="6"/>
  <c r="D184" i="6"/>
  <c r="D183" i="6"/>
  <c r="D182" i="6"/>
  <c r="D175" i="6"/>
  <c r="D174" i="6"/>
  <c r="D173" i="6"/>
  <c r="D172" i="6"/>
  <c r="D171" i="6"/>
  <c r="D161" i="6"/>
  <c r="D162" i="6"/>
  <c r="D163" i="6"/>
  <c r="D164" i="6"/>
  <c r="D160" i="6"/>
  <c r="D149" i="6"/>
  <c r="D150" i="6"/>
  <c r="D151" i="6"/>
  <c r="D152" i="6"/>
  <c r="D153" i="6"/>
  <c r="D148" i="6"/>
  <c r="D622" i="6"/>
  <c r="D621" i="6"/>
  <c r="D620" i="6"/>
  <c r="C613" i="6"/>
  <c r="C612" i="6"/>
  <c r="D613" i="6"/>
  <c r="D612" i="6"/>
  <c r="C571" i="6"/>
  <c r="C570" i="6"/>
  <c r="C569" i="6"/>
  <c r="D570" i="6"/>
  <c r="D571" i="6"/>
  <c r="D569" i="6"/>
  <c r="C495" i="6"/>
  <c r="C494" i="6"/>
  <c r="C493" i="6"/>
  <c r="D494" i="6"/>
  <c r="D495" i="6"/>
  <c r="D493" i="6"/>
  <c r="D487" i="6"/>
  <c r="D486" i="6"/>
  <c r="D485" i="6"/>
  <c r="D479" i="6"/>
  <c r="D478" i="6"/>
  <c r="D477" i="6"/>
  <c r="D476" i="6"/>
  <c r="C469" i="6"/>
  <c r="C468" i="6"/>
  <c r="D469" i="6"/>
  <c r="D468" i="6"/>
  <c r="D419" i="6"/>
  <c r="D420" i="6"/>
  <c r="D418" i="6"/>
  <c r="C376" i="6"/>
  <c r="C375" i="6"/>
  <c r="D376" i="6"/>
  <c r="D375" i="6"/>
  <c r="C342" i="6"/>
  <c r="C341" i="6"/>
  <c r="C340" i="6"/>
  <c r="C339" i="6"/>
  <c r="C338" i="6"/>
  <c r="D339" i="6"/>
  <c r="D340" i="6"/>
  <c r="D341" i="6"/>
  <c r="D342" i="6"/>
  <c r="D338" i="6"/>
  <c r="C309" i="6"/>
  <c r="C308" i="6"/>
  <c r="C307" i="6"/>
  <c r="D308" i="6"/>
  <c r="D309" i="6"/>
  <c r="D307" i="6"/>
  <c r="C213" i="6"/>
  <c r="C212" i="6"/>
  <c r="C211" i="6"/>
  <c r="C210" i="6"/>
  <c r="D211" i="6"/>
  <c r="D212" i="6"/>
  <c r="D213" i="6"/>
  <c r="D210" i="6"/>
  <c r="C141" i="6"/>
  <c r="C140" i="6"/>
  <c r="D141" i="6"/>
  <c r="D140" i="6"/>
  <c r="C133" i="6"/>
  <c r="C132" i="6"/>
  <c r="C131" i="6"/>
  <c r="C130" i="6"/>
  <c r="C129" i="6"/>
  <c r="C128" i="6"/>
  <c r="C127" i="6"/>
  <c r="D128" i="6"/>
  <c r="D129" i="6"/>
  <c r="D130" i="6"/>
  <c r="D131" i="6"/>
  <c r="D132" i="6"/>
  <c r="D133" i="6"/>
  <c r="D127" i="6"/>
  <c r="C120" i="6"/>
  <c r="C119" i="6"/>
  <c r="D120" i="6"/>
  <c r="D119" i="6"/>
  <c r="D113" i="6"/>
  <c r="D112" i="6"/>
  <c r="C66" i="6"/>
  <c r="C65" i="6"/>
  <c r="D66" i="6"/>
  <c r="D65" i="6"/>
  <c r="C58" i="6"/>
  <c r="C57" i="6"/>
  <c r="C56" i="6"/>
  <c r="D57" i="6"/>
  <c r="D58" i="6"/>
  <c r="D56" i="6"/>
  <c r="C46" i="6"/>
  <c r="C45" i="6"/>
  <c r="C44" i="6"/>
  <c r="C43" i="6"/>
  <c r="C42" i="6"/>
  <c r="D43" i="6"/>
  <c r="D44" i="6"/>
  <c r="D45" i="6"/>
  <c r="D46" i="6"/>
  <c r="D42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D24" i="6"/>
  <c r="D25" i="6"/>
  <c r="D26" i="6"/>
  <c r="D27" i="6"/>
  <c r="D28" i="6"/>
  <c r="D29" i="6"/>
  <c r="D30" i="6"/>
  <c r="D31" i="6"/>
  <c r="D32" i="6"/>
  <c r="D33" i="6"/>
  <c r="D34" i="6"/>
  <c r="D35" i="6"/>
  <c r="D23" i="6"/>
  <c r="B11" i="3"/>
  <c r="C11" i="3"/>
  <c r="B1055" i="3" l="1"/>
  <c r="D828" i="6" s="1"/>
  <c r="B1012" i="3"/>
  <c r="D792" i="6" s="1"/>
  <c r="B989" i="3"/>
  <c r="D782" i="6" s="1"/>
  <c r="B1056" i="3"/>
  <c r="D829" i="6" s="1"/>
  <c r="B1013" i="3"/>
  <c r="D793" i="6" s="1"/>
  <c r="B980" i="3"/>
  <c r="D773" i="6" s="1"/>
  <c r="B1057" i="3"/>
  <c r="D830" i="6" s="1"/>
  <c r="B1014" i="3"/>
  <c r="D794" i="6" s="1"/>
  <c r="B950" i="3"/>
  <c r="D737" i="6" s="1"/>
  <c r="B1008" i="3"/>
  <c r="D788" i="6" s="1"/>
  <c r="B981" i="3"/>
  <c r="D774" i="6" s="1"/>
  <c r="B951" i="3"/>
  <c r="D738" i="6" s="1"/>
  <c r="B1058" i="3"/>
  <c r="D831" i="6" s="1"/>
  <c r="B1031" i="3"/>
  <c r="D801" i="6" s="1"/>
  <c r="B982" i="3"/>
  <c r="D775" i="6" s="1"/>
  <c r="B953" i="3"/>
  <c r="D740" i="6" s="1"/>
  <c r="B1032" i="3"/>
  <c r="D802" i="6" s="1"/>
  <c r="B983" i="3"/>
  <c r="D776" i="6" s="1"/>
  <c r="B954" i="3"/>
  <c r="D741" i="6" s="1"/>
  <c r="B987" i="3"/>
  <c r="D780" i="6" s="1"/>
  <c r="B952" i="3"/>
  <c r="D739" i="6" s="1"/>
  <c r="B1033" i="3"/>
  <c r="D803" i="6" s="1"/>
  <c r="B984" i="3"/>
  <c r="D777" i="6" s="1"/>
  <c r="B955" i="3"/>
  <c r="D742" i="6" s="1"/>
  <c r="B1030" i="3"/>
  <c r="D800" i="6" s="1"/>
  <c r="B985" i="3"/>
  <c r="D778" i="6" s="1"/>
  <c r="B956" i="3"/>
  <c r="D743" i="6" s="1"/>
  <c r="B1009" i="3"/>
  <c r="D789" i="6" s="1"/>
  <c r="B986" i="3"/>
  <c r="D779" i="6" s="1"/>
  <c r="B957" i="3"/>
  <c r="D744" i="6" s="1"/>
  <c r="B1010" i="3"/>
  <c r="D790" i="6" s="1"/>
  <c r="B958" i="3"/>
  <c r="D745" i="6" s="1"/>
  <c r="B1011" i="3"/>
  <c r="D791" i="6" s="1"/>
  <c r="B988" i="3"/>
  <c r="D781" i="6" s="1"/>
  <c r="B949" i="3"/>
  <c r="D736" i="6" s="1"/>
  <c r="B1054" i="3"/>
  <c r="D827" i="6" s="1"/>
  <c r="B873" i="3"/>
  <c r="B919" i="3"/>
  <c r="D713" i="6" s="1"/>
  <c r="B920" i="3"/>
  <c r="D714" i="6" s="1"/>
  <c r="B921" i="3"/>
  <c r="D715" i="6" s="1"/>
  <c r="B922" i="3"/>
  <c r="D716" i="6" s="1"/>
  <c r="B923" i="3"/>
  <c r="D717" i="6" s="1"/>
  <c r="B924" i="3"/>
  <c r="D718" i="6" s="1"/>
  <c r="B925" i="3"/>
  <c r="D719" i="6" s="1"/>
  <c r="B926" i="3"/>
  <c r="D720" i="6" s="1"/>
  <c r="B927" i="3"/>
  <c r="D721" i="6" s="1"/>
  <c r="B918" i="3"/>
  <c r="D712" i="6" s="1"/>
  <c r="B669" i="3"/>
  <c r="D259" i="6" s="1"/>
  <c r="B764" i="3"/>
  <c r="D534" i="6" s="1"/>
  <c r="B872" i="3"/>
  <c r="B580" i="3"/>
  <c r="D79" i="6" s="1"/>
  <c r="B670" i="3"/>
  <c r="D260" i="6" s="1"/>
  <c r="B765" i="3"/>
  <c r="D535" i="6" s="1"/>
  <c r="B871" i="3"/>
  <c r="B581" i="3"/>
  <c r="D80" i="6" s="1"/>
  <c r="B671" i="3"/>
  <c r="D261" i="6" s="1"/>
  <c r="B791" i="3"/>
  <c r="D583" i="6" s="1"/>
  <c r="B870" i="3"/>
  <c r="B603" i="3"/>
  <c r="D191" i="6" s="1"/>
  <c r="B672" i="3"/>
  <c r="D262" i="6" s="1"/>
  <c r="B792" i="3"/>
  <c r="D584" i="6" s="1"/>
  <c r="B869" i="3"/>
  <c r="B604" i="3"/>
  <c r="D192" i="6" s="1"/>
  <c r="B700" i="3"/>
  <c r="D275" i="6" s="1"/>
  <c r="B810" i="3"/>
  <c r="D632" i="6" s="1"/>
  <c r="B605" i="3"/>
  <c r="D193" i="6" s="1"/>
  <c r="B701" i="3"/>
  <c r="D276" i="6" s="1"/>
  <c r="B815" i="3"/>
  <c r="D637" i="6" s="1"/>
  <c r="B633" i="3"/>
  <c r="D220" i="6" s="1"/>
  <c r="B702" i="3"/>
  <c r="D277" i="6" s="1"/>
  <c r="B814" i="3"/>
  <c r="D636" i="6" s="1"/>
  <c r="B634" i="3"/>
  <c r="D221" i="6" s="1"/>
  <c r="B703" i="3"/>
  <c r="D278" i="6" s="1"/>
  <c r="B843" i="3"/>
  <c r="B635" i="3"/>
  <c r="D222" i="6" s="1"/>
  <c r="B704" i="3"/>
  <c r="D279" i="6" s="1"/>
  <c r="B842" i="3"/>
  <c r="B636" i="3"/>
  <c r="D223" i="6" s="1"/>
  <c r="B746" i="3"/>
  <c r="D504" i="6" s="1"/>
  <c r="B841" i="3"/>
  <c r="B637" i="3"/>
  <c r="D224" i="6" s="1"/>
  <c r="B747" i="3"/>
  <c r="D505" i="6" s="1"/>
  <c r="B840" i="3"/>
  <c r="B668" i="3"/>
  <c r="D258" i="6" s="1"/>
  <c r="B748" i="3"/>
  <c r="D506" i="6" s="1"/>
  <c r="B839" i="3"/>
  <c r="B606" i="3"/>
  <c r="D194" i="6" s="1"/>
  <c r="B638" i="3"/>
  <c r="D225" i="6" s="1"/>
  <c r="B673" i="3"/>
  <c r="D263" i="6" s="1"/>
  <c r="B723" i="3"/>
  <c r="D383" i="6" s="1"/>
  <c r="B766" i="3"/>
  <c r="D536" i="6" s="1"/>
  <c r="B813" i="3"/>
  <c r="D635" i="6" s="1"/>
  <c r="B838" i="3"/>
  <c r="B574" i="3"/>
  <c r="D73" i="6" s="1"/>
  <c r="B607" i="3"/>
  <c r="D195" i="6" s="1"/>
  <c r="B639" i="3"/>
  <c r="D226" i="6" s="1"/>
  <c r="B674" i="3"/>
  <c r="D264" i="6" s="1"/>
  <c r="B724" i="3"/>
  <c r="D384" i="6" s="1"/>
  <c r="B767" i="3"/>
  <c r="D537" i="6" s="1"/>
  <c r="B812" i="3"/>
  <c r="D634" i="6" s="1"/>
  <c r="B868" i="3"/>
  <c r="B575" i="3"/>
  <c r="D74" i="6" s="1"/>
  <c r="B608" i="3"/>
  <c r="D196" i="6" s="1"/>
  <c r="B640" i="3"/>
  <c r="D227" i="6" s="1"/>
  <c r="B675" i="3"/>
  <c r="D265" i="6" s="1"/>
  <c r="B725" i="3"/>
  <c r="D385" i="6" s="1"/>
  <c r="B786" i="3"/>
  <c r="D578" i="6" s="1"/>
  <c r="B811" i="3"/>
  <c r="D633" i="6" s="1"/>
  <c r="B877" i="3"/>
  <c r="B576" i="3"/>
  <c r="D75" i="6" s="1"/>
  <c r="B609" i="3"/>
  <c r="D197" i="6" s="1"/>
  <c r="B641" i="3"/>
  <c r="B676" i="3"/>
  <c r="D266" i="6" s="1"/>
  <c r="B726" i="3"/>
  <c r="D386" i="6" s="1"/>
  <c r="B787" i="3"/>
  <c r="D579" i="6" s="1"/>
  <c r="B837" i="3"/>
  <c r="B876" i="3"/>
  <c r="B577" i="3"/>
  <c r="D76" i="6" s="1"/>
  <c r="B610" i="3"/>
  <c r="D198" i="6" s="1"/>
  <c r="B665" i="3"/>
  <c r="D255" i="6" s="1"/>
  <c r="B697" i="3"/>
  <c r="D272" i="6" s="1"/>
  <c r="B727" i="3"/>
  <c r="D387" i="6" s="1"/>
  <c r="B788" i="3"/>
  <c r="D580" i="6" s="1"/>
  <c r="B846" i="3"/>
  <c r="B875" i="3"/>
  <c r="B578" i="3"/>
  <c r="D77" i="6" s="1"/>
  <c r="B611" i="3"/>
  <c r="D199" i="6" s="1"/>
  <c r="B666" i="3"/>
  <c r="D256" i="6" s="1"/>
  <c r="B698" i="3"/>
  <c r="D273" i="6" s="1"/>
  <c r="B744" i="3"/>
  <c r="D502" i="6" s="1"/>
  <c r="B789" i="3"/>
  <c r="D581" i="6" s="1"/>
  <c r="B845" i="3"/>
  <c r="B874" i="3"/>
  <c r="B579" i="3"/>
  <c r="D78" i="6" s="1"/>
  <c r="B612" i="3"/>
  <c r="D200" i="6" s="1"/>
  <c r="B667" i="3"/>
  <c r="D257" i="6" s="1"/>
  <c r="B699" i="3"/>
  <c r="D274" i="6" s="1"/>
  <c r="B745" i="3"/>
  <c r="D503" i="6" s="1"/>
  <c r="B790" i="3"/>
  <c r="D582" i="6" s="1"/>
  <c r="B844" i="3"/>
  <c r="C16" i="6"/>
  <c r="C15" i="6"/>
  <c r="D851" i="6"/>
  <c r="D16" i="6"/>
  <c r="D15" i="6"/>
  <c r="B891" i="3" l="1"/>
  <c r="D651" i="6" s="1"/>
  <c r="C885" i="3"/>
  <c r="D661" i="6" s="1"/>
  <c r="B886" i="3"/>
  <c r="D646" i="6" s="1"/>
  <c r="C891" i="3"/>
  <c r="D667" i="6" s="1"/>
  <c r="B884" i="3"/>
  <c r="D644" i="6" s="1"/>
  <c r="B883" i="3"/>
  <c r="D643" i="6" s="1"/>
  <c r="B887" i="3"/>
  <c r="D647" i="6" s="1"/>
  <c r="C886" i="3"/>
  <c r="D662" i="6" s="1"/>
  <c r="B890" i="3"/>
  <c r="D650" i="6" s="1"/>
  <c r="C890" i="3"/>
  <c r="D666" i="6" s="1"/>
  <c r="B885" i="3"/>
  <c r="D645" i="6" s="1"/>
  <c r="B889" i="3"/>
  <c r="D649" i="6" s="1"/>
  <c r="C884" i="3"/>
  <c r="D660" i="6" s="1"/>
  <c r="C887" i="3"/>
  <c r="D663" i="6" s="1"/>
  <c r="C883" i="3"/>
  <c r="D659" i="6" s="1"/>
  <c r="B888" i="3"/>
  <c r="D648" i="6" s="1"/>
  <c r="B892" i="3"/>
  <c r="D652" i="6" s="1"/>
  <c r="C889" i="3"/>
  <c r="D665" i="6" s="1"/>
  <c r="C892" i="3"/>
  <c r="D668" i="6" s="1"/>
  <c r="C888" i="3"/>
  <c r="D664" i="6" s="1"/>
  <c r="D17" i="6"/>
  <c r="D456" i="6"/>
  <c r="D457" i="6"/>
  <c r="D36" i="6"/>
  <c r="D859" i="6"/>
  <c r="D877" i="6"/>
  <c r="D867" i="6"/>
  <c r="D811" i="6"/>
  <c r="D821" i="6"/>
  <c r="D755" i="6"/>
  <c r="D730" i="6"/>
  <c r="D706" i="6"/>
  <c r="D614" i="6"/>
  <c r="D572" i="6"/>
  <c r="D496" i="6"/>
  <c r="D470" i="6"/>
  <c r="D450" i="6"/>
  <c r="D435" i="6"/>
  <c r="D458" i="6" s="1"/>
  <c r="D377" i="6"/>
  <c r="D343" i="6"/>
  <c r="D310" i="6"/>
  <c r="D214" i="6"/>
  <c r="D154" i="6"/>
  <c r="D176" i="6"/>
  <c r="D165" i="6"/>
  <c r="D185" i="6"/>
  <c r="D142" i="6"/>
  <c r="D134" i="6"/>
  <c r="D121" i="6"/>
  <c r="D67" i="6"/>
  <c r="D59" i="6"/>
  <c r="D47" i="6"/>
  <c r="DV31" i="1"/>
  <c r="DV30" i="1"/>
  <c r="DV29" i="1"/>
  <c r="DV28" i="1"/>
  <c r="DV27" i="1"/>
  <c r="DV26" i="1"/>
  <c r="DV25" i="1"/>
  <c r="DV24" i="1"/>
  <c r="DV23" i="1"/>
  <c r="DV22" i="1"/>
  <c r="DV21" i="1"/>
  <c r="DV20" i="1"/>
  <c r="DV19" i="1"/>
  <c r="DV18" i="1"/>
  <c r="DV17" i="1"/>
  <c r="DV16" i="1"/>
  <c r="DV15" i="1"/>
  <c r="DV14" i="1"/>
  <c r="DV13" i="1"/>
  <c r="DV12" i="1"/>
  <c r="DV11" i="1"/>
  <c r="DV10" i="1"/>
  <c r="DV9" i="1"/>
  <c r="DV8" i="1"/>
  <c r="DV7" i="1"/>
  <c r="DV6" i="1"/>
  <c r="DV5" i="1"/>
  <c r="DV4" i="1"/>
  <c r="DV3" i="1"/>
  <c r="DV2" i="1"/>
  <c r="D669" i="6" l="1"/>
  <c r="D653" i="6"/>
  <c r="D844" i="6"/>
</calcChain>
</file>

<file path=xl/sharedStrings.xml><?xml version="1.0" encoding="utf-8"?>
<sst xmlns="http://schemas.openxmlformats.org/spreadsheetml/2006/main" count="5152" uniqueCount="1042">
  <si>
    <t>Município</t>
  </si>
  <si>
    <t>1.2. Topografia/relevo predominante da propriedade rural:</t>
  </si>
  <si>
    <t>1.5. Sistema de produção de leite cru?</t>
  </si>
  <si>
    <t>1.6. Tipos de benfeitorias na propriedade rural (Marque o tipo de construção para cada benfeitoria) [Casa sede]</t>
  </si>
  <si>
    <t>1.6. Tipos de benfeitorias na propriedade rural (Marque o tipo de construção para cada benfeitoria) [Casa/alojamento de empregado]</t>
  </si>
  <si>
    <t>1.6. Tipos de benfeitorias na propriedade rural (Marque o tipo de construção para cada benfeitoria) [Galpão para máquinas, implementos e afins]</t>
  </si>
  <si>
    <t>1.7. Existência de recursos hídricos e serviços na propriedade rural:</t>
  </si>
  <si>
    <t>CAR - Cadastro Ambiental Rural</t>
  </si>
  <si>
    <t>Cursos d’água/riacho/nascentes/mina</t>
  </si>
  <si>
    <t>Vegetação nativa/mata/floresta</t>
  </si>
  <si>
    <t>Área de preservação permanentes</t>
  </si>
  <si>
    <t>Área de reserva legal</t>
  </si>
  <si>
    <t>Serviço de água potável</t>
  </si>
  <si>
    <t>Serviço de esgoto doméstico tratado</t>
  </si>
  <si>
    <t>Serviço de telefonia</t>
  </si>
  <si>
    <t>2.1. Idade (anos)</t>
  </si>
  <si>
    <t>2.2. Tempo que é produtor(a) de leite (anos)</t>
  </si>
  <si>
    <t>2.3. Sexo</t>
  </si>
  <si>
    <t>2.4. Escolaridade:</t>
  </si>
  <si>
    <t>2.5. Residência principal (mais de 50% do tempo):</t>
  </si>
  <si>
    <t>2.6. Distribuição da área utilizada na produção leiteira: Própria (%)</t>
  </si>
  <si>
    <t>2.6. Distribuição da área utilizada na produção leiteira: Arrendada (%)</t>
  </si>
  <si>
    <t>2.6. Distribuição da área utilizada na produção leiteira: Parceria (%)</t>
  </si>
  <si>
    <t>2.6. Distribuição da área utilizada na produção leiteira: Comodato (%)</t>
  </si>
  <si>
    <t>2.6. Distribuição da área utilizada na produção leiteira: Assentamento (%)</t>
  </si>
  <si>
    <t>2.6. Distribuição da área utilizada na produção leiteira: Como posseiro (%)</t>
  </si>
  <si>
    <t>2.7. Origem da área própria utilizada na atividade leiteira: Herança ou doação (%)</t>
  </si>
  <si>
    <t>2.7. Origem da área própria utilizada na atividade leiteira: Compra (%)</t>
  </si>
  <si>
    <t>2.7. Origem da área própria utilizada na atividade leiteira: Posse ou usucapião (%)</t>
  </si>
  <si>
    <t>2.7. Origem da área própria utilizada na atividade leiteira: Titulação ou licença de ocupação (%)</t>
  </si>
  <si>
    <t>2.7. Origem da área própria utilizada na atividade leiteira: Outro (%)</t>
  </si>
  <si>
    <t>2.8. Faz parte de alguma associação ou cooperativa relacionada à produção de leite?</t>
  </si>
  <si>
    <t>2.9. Composição da renda bruta do produtor rural: Pecuária de leite (%)</t>
  </si>
  <si>
    <t>2.9. Composição da renda bruta do produtor rural: Outras criações (%)</t>
  </si>
  <si>
    <t>2.9. Composição da renda bruta do produtor rural: Culturas permanentes (%)</t>
  </si>
  <si>
    <t>2.9. Composição da renda bruta do produtor rural: Culturas anuais (%)</t>
  </si>
  <si>
    <t>2.9. Composição da renda bruta do produtor rural: Fora da propriedade (%)</t>
  </si>
  <si>
    <t>2.10. Composição da renda bruta da atividade leiteira: Venda e consumo de leite (%)</t>
  </si>
  <si>
    <t>2.10. Composição da renda bruta da atividade leiteira: Venda e consumo de animais (%)</t>
  </si>
  <si>
    <t>2.10. Composição da renda bruta da atividade leiteira: Outro (%)</t>
  </si>
  <si>
    <t>2.11. Recebe ou acessa algum benefício social no âmbito do governo? (Pode marcar mais de uma opção)</t>
  </si>
  <si>
    <t>Bolsa família</t>
  </si>
  <si>
    <t>Aposentadoria</t>
  </si>
  <si>
    <t>PRONAF</t>
  </si>
  <si>
    <t>PRONAMPE</t>
  </si>
  <si>
    <t>Seguro Safra</t>
  </si>
  <si>
    <t>Programa de Aquisição de Alimentos (PAA)</t>
  </si>
  <si>
    <t>Programa de Garantia de Preços para a Agricultura Familiar (PGPAF)</t>
  </si>
  <si>
    <t>Benefício de Prestação Continuada</t>
  </si>
  <si>
    <t>Outro programa municipal/estadual</t>
  </si>
  <si>
    <t>Não recebe benefício do governo</t>
  </si>
  <si>
    <t>3.1. Atualmente, seu retorno financeiro na produção de leite pode ser considerado:</t>
  </si>
  <si>
    <t>3.2. Sua atividade leiteira se mantém sem recursos externos?</t>
  </si>
  <si>
    <t>3.3. Por que está na atividade do leite? (Marque no máximo 3 alternativas)</t>
  </si>
  <si>
    <t>Por gostar</t>
  </si>
  <si>
    <t>Por ser uma atividade lucrativa</t>
  </si>
  <si>
    <t>Por proporcionar renda mensal</t>
  </si>
  <si>
    <t>A atividade leiteira é uma tradição na família</t>
  </si>
  <si>
    <t>Combina com outras explorações da propriedade</t>
  </si>
  <si>
    <t>Tem mercado garantido</t>
  </si>
  <si>
    <t>Não sabe fazer outra coisa</t>
  </si>
  <si>
    <t>Emprega a família</t>
  </si>
  <si>
    <t>Não sabe</t>
  </si>
  <si>
    <t>3.4. Excluindo o preço do leite, quais os principais problemas que influenciam na sua produção? (Marque no máximo 3 alternativas)</t>
  </si>
  <si>
    <t>Falta de mão de obra</t>
  </si>
  <si>
    <t>Deficiência na qualificação da mão de obra</t>
  </si>
  <si>
    <t>Falta de crédito rural, com taxas de juros compatíveis com a atividade</t>
  </si>
  <si>
    <t>Deficiência de informações técnicas sobre a produção de leite</t>
  </si>
  <si>
    <t>Deficiência de informações de mercado</t>
  </si>
  <si>
    <t>Custo dos insumos</t>
  </si>
  <si>
    <t>Deficiência na infraestrutura de transporte/estradas</t>
  </si>
  <si>
    <t>Instabilidade de políticas públicas</t>
  </si>
  <si>
    <t>Legislação ambiental</t>
  </si>
  <si>
    <t>Legislação trabalhista</t>
  </si>
  <si>
    <t>Baixa capacidade de endividamento</t>
  </si>
  <si>
    <t>3.6. Na sua opinião, quais os pontos mais importantes para uma produção de leite rentável? (Marque no máximo 3 alternativas)</t>
  </si>
  <si>
    <t>Mão de obra qualificada</t>
  </si>
  <si>
    <t>Sanidade do rebanho</t>
  </si>
  <si>
    <t>Qualidade genética dos animais</t>
  </si>
  <si>
    <t>Alimentação do rebanho</t>
  </si>
  <si>
    <t>Manejo do rebanho</t>
  </si>
  <si>
    <t>Reprodução do rebanho</t>
  </si>
  <si>
    <t>Preço do leite</t>
  </si>
  <si>
    <t>Conhecimento de técnicas eficientes</t>
  </si>
  <si>
    <t>3.7. Para os próximos 5 anos, o que pretende fazer com a produção de leite?</t>
  </si>
  <si>
    <t>3.8. Opinião do produtor sobre a sucessão em sua propriedade:</t>
  </si>
  <si>
    <t>4.1. Utilizou crédito rural nos últimos 12 meses?</t>
  </si>
  <si>
    <t>4.2. Se utilizou, quais as principais linhas de crédito? (Pode marcar mais de uma opção)</t>
  </si>
  <si>
    <t>INOVAGRO</t>
  </si>
  <si>
    <t>Cooperativas de crédito ou bancos privados</t>
  </si>
  <si>
    <t>Plano Safra</t>
  </si>
  <si>
    <t>Crédito Informal</t>
  </si>
  <si>
    <t>Não utilizou crédito</t>
  </si>
  <si>
    <t>4.3. Se não utilizou crédito, por quê? (Pode marcar mais de uma opção)</t>
  </si>
  <si>
    <t>Documentação pessoal incompleta</t>
  </si>
  <si>
    <t>Falta de regularização fundiária</t>
  </si>
  <si>
    <t>Não tem capacidade para endividamento</t>
  </si>
  <si>
    <t>Dificuldade para obter financiamento</t>
  </si>
  <si>
    <t>Não precisou de crédito</t>
  </si>
  <si>
    <t>Utilizou crédito</t>
  </si>
  <si>
    <t>5.2. Produção de leite média dos últimos 12 meses (consumido + vendido) (litros/dia)</t>
  </si>
  <si>
    <t>5.2.1. Produção nas águas (litros/dia)</t>
  </si>
  <si>
    <t>5.2.2. Produção na seca (litros/dia)</t>
  </si>
  <si>
    <t>5.3. Produtividade média / vaca em lactação (litros/vaca/dia)</t>
  </si>
  <si>
    <t>5.3.1. Produtividade nas águas (litros/vaca/dia)</t>
  </si>
  <si>
    <t>5.3.2 Produtividade na seca (litros/vaca/dia)</t>
  </si>
  <si>
    <t>5.4. Distribuição da produção de leite nos últimos 12 meses: Vendida para laticínio/cooperativa (leite fluído) (%)</t>
  </si>
  <si>
    <t>5.4. Distribuição da produção de leite nos últimos 12 meses: Vendida diretamente para consumidor (leite fluído) (%)</t>
  </si>
  <si>
    <t>5.4. Distribuição da produção de leite nos últimos 12 meses: Vendida na forma de derivados (queijos, requeijão, etc.) (%)</t>
  </si>
  <si>
    <t>5.4. Distribuição da produção de leite nos últimos 12 meses: Autoconsumo humano (%)</t>
  </si>
  <si>
    <t>5.4. Distribuição da produção de leite nos últimos 12 meses: Aleitamento (%)</t>
  </si>
  <si>
    <t>5.5. Área própria total da propriedade (hectares)</t>
  </si>
  <si>
    <t>5.6. Área destinada ao gado de leite (hectares)</t>
  </si>
  <si>
    <t>5.7.1. Possui cônjuge ou companheiro(a)?</t>
  </si>
  <si>
    <t>Tem filhos</t>
  </si>
  <si>
    <t>Tem filhos que trabalham na propriedade rural</t>
  </si>
  <si>
    <t>TOTAL FAMILIAR (TRABALHADOR/DIA)</t>
  </si>
  <si>
    <t>TOTAL CONTRATADA (TRABALHADOR/DIA)</t>
  </si>
  <si>
    <t>MDO TOTAL (TRABALHADOR/DIA)</t>
  </si>
  <si>
    <t>5.11.1. Número atual de cabeças no rebanho: Vaca em lactação</t>
  </si>
  <si>
    <t>5.11.1. Número atual de cabeças no rebanho: Vaca seca</t>
  </si>
  <si>
    <t>5.11.1. Número atual de cabeças no rebanho: Bezerra em aleitamento</t>
  </si>
  <si>
    <t>5.11.1. Número atual de cabeças no rebanho: Bezerro em aleitamento</t>
  </si>
  <si>
    <t>5.11.1. Número atual de cabeças no rebanho: Novilha em recria</t>
  </si>
  <si>
    <t>5.11.1. Número atual de cabeças no rebanho: Novilha em reprodução</t>
  </si>
  <si>
    <t>5.11.1. Número atual de cabeças no rebanho: Garrote</t>
  </si>
  <si>
    <t>5.11.1. Número atual de cabeças no rebanho: Touro</t>
  </si>
  <si>
    <t>5.11.1. Número atual de cabeças no rebanho: Animal de serviço</t>
  </si>
  <si>
    <t>5.11.2.a. Composição % do rebanho - Reprodutores (touro/sêmen): Menos de 1/2 HZ (azebuado) (%)</t>
  </si>
  <si>
    <t>5.11.2.a. Composição % do rebanho - Reprodutores (touro/sêmen): De 1/2 a 3/4 HZ (%)</t>
  </si>
  <si>
    <t>5.11.2.a. Composição % do rebanho - Reprodutores (touro/sêmen): De 3/4 a 7/8 HZ (%)</t>
  </si>
  <si>
    <t>5.11.2.a. Composição % do rebanho - Reprodutores (touro/sêmen): De 7/8 HZ a puro holandês (%)</t>
  </si>
  <si>
    <t>5.11.2.a. Composição % do rebanho - Reprodutores (touro/sêmen): Puro holandês (%)</t>
  </si>
  <si>
    <t>5.11.2.a. Composição % do rebanho - Reprodutores (touro/sêmen): Puro outras raças europeias (%)</t>
  </si>
  <si>
    <t>5.11.2.a. Composição % do rebanho - Reprodutores (touro/sêmen): Puro raças zebuínas (%)</t>
  </si>
  <si>
    <t>5.11.2.a. Composição % do rebanho - Reprodutores (touro/sêmen): Sem padrão definido (%)</t>
  </si>
  <si>
    <t>5.11.2.b. Composição % do rebanho - Vacas (lactação + secas): Menos de 1/2 HZ (azebuado) (%)</t>
  </si>
  <si>
    <t>5.11.2.b. Composição % do rebanho - Vacas (lactação + secas): De 1/2 a 3/4 HZ (%)</t>
  </si>
  <si>
    <t>5.11.2.b. Composição % do rebanho - Vacas (lactação + secas): De 3/4 a 7/8 HZ (%)</t>
  </si>
  <si>
    <t>5.11.2.b. Composição % do rebanho - Vacas (lactação + secas): De 7/8 HZ a puro holandês (%)</t>
  </si>
  <si>
    <t>5.11.2.b. Composição % do rebanho - Vacas (lactação + secas): Puro holandês (%)</t>
  </si>
  <si>
    <t>5.11.2.b. Composição % do rebanho - Vacas (lactação + secas): Puro outras raças europeias (%)</t>
  </si>
  <si>
    <t>5.11.2.b. Composição % do rebanho - Vacas (lactação + secas): Puro raças zebuínas (%)</t>
  </si>
  <si>
    <t>5.11.2.b. Composição % do rebanho - Vacas (lactação + secas): Sem padrão definido (%)</t>
  </si>
  <si>
    <t>6.1. Como é feito o resfriamento do leite na fazenda?</t>
  </si>
  <si>
    <t>6.4. Tem fonte de água no curral?</t>
  </si>
  <si>
    <t>6.5. Tem cobertura no curral?</t>
  </si>
  <si>
    <t>6.6. Estrutura do local de ordenha:</t>
  </si>
  <si>
    <t>6.7. Tem fonte de água no local de ordenha?</t>
  </si>
  <si>
    <t>6.8. A Sala de ordenha é coberta?</t>
  </si>
  <si>
    <t>6.9. Tipo de ordenha:</t>
  </si>
  <si>
    <t>6.10. Número de ordenhas nas águas</t>
  </si>
  <si>
    <t>6.10. Número de ordenhas na seca</t>
  </si>
  <si>
    <t>6.12. O leite é enviado ao laticínio:</t>
  </si>
  <si>
    <t>6.15. Tipo de pastagem na propriedade rural:</t>
  </si>
  <si>
    <t>6.16. Tipo de pastagem plantada na propriedade rural: (Pode marcar mais de uma opção)</t>
  </si>
  <si>
    <t>Brachiaria</t>
  </si>
  <si>
    <t>Panicum</t>
  </si>
  <si>
    <t>Capim-elefante</t>
  </si>
  <si>
    <t>Colonião</t>
  </si>
  <si>
    <t>Jaraguá</t>
  </si>
  <si>
    <t>Andropogon</t>
  </si>
  <si>
    <t>Cynodon</t>
  </si>
  <si>
    <t>Tifton</t>
  </si>
  <si>
    <t>Não tem pastagem plantada</t>
  </si>
  <si>
    <t>6.17. Quais dessas práticas são utilizadas nas pastagens? (Pode marcar mais de uma opção)</t>
  </si>
  <si>
    <t>Correção e adubação do solo na implantação</t>
  </si>
  <si>
    <t xml:space="preserve">Adubação anual de cobertura </t>
  </si>
  <si>
    <t xml:space="preserve">Controle de plantas invasoras </t>
  </si>
  <si>
    <t>Rotação de pastagens</t>
  </si>
  <si>
    <t>Divisão em piquetes</t>
  </si>
  <si>
    <t>Cerca elétrica nos piquetes</t>
  </si>
  <si>
    <t>Nenhuma das anteriores</t>
  </si>
  <si>
    <t>Não utiliza pastagens</t>
  </si>
  <si>
    <t>7.1. Quem faz a administração/direção da atividade leiteira?</t>
  </si>
  <si>
    <t>7.2. Quais metas anuais são estabelecidas para a atividade leiteira? (Pode marcar mais de uma opção)</t>
  </si>
  <si>
    <t>Produção de leite</t>
  </si>
  <si>
    <t>Produtividade</t>
  </si>
  <si>
    <t>Receitas</t>
  </si>
  <si>
    <t>Despesas</t>
  </si>
  <si>
    <t>Venda de genética</t>
  </si>
  <si>
    <t>Venda de animais</t>
  </si>
  <si>
    <t>Não estabelece metas</t>
  </si>
  <si>
    <t>7.4. Realização de controle financeiro da produção:</t>
  </si>
  <si>
    <t>7.5. Sabe qual o custo médio da sua produção de leite?</t>
  </si>
  <si>
    <t>7.6. Se sim, qual o valor médio anual do seu custo de produção? (R$/litro)</t>
  </si>
  <si>
    <t>8.1. Quais as principais fontes de informações sobre gado de leite? (Marque no máximo 3 alternativas)</t>
  </si>
  <si>
    <t>Assistência técnica</t>
  </si>
  <si>
    <t>Vizinho, amigo ou parente</t>
  </si>
  <si>
    <t>Treinamento (curso, palestra, etc.)</t>
  </si>
  <si>
    <t>Jornais e revistas agropecuários</t>
  </si>
  <si>
    <t>Programas de TV</t>
  </si>
  <si>
    <t>Outras mídias sociais</t>
  </si>
  <si>
    <t>8.4. Nos últimos 12 meses, quantas vezes um técnico visitou sua propriedade para orientá-lo(a) sobre a produção de leite? (visitas/ano)</t>
  </si>
  <si>
    <t>8.6. Quais informações sobre a produção de leite mais recebeu? (Marque no máximo 3 alternativas)</t>
  </si>
  <si>
    <t>Planejamento da empresa rural</t>
  </si>
  <si>
    <t>Cálculo do custo de produção</t>
  </si>
  <si>
    <t>Mercado do leite</t>
  </si>
  <si>
    <t>Melhoramento genético</t>
  </si>
  <si>
    <t>Gerenciamento da produção</t>
  </si>
  <si>
    <t>Produção de leite e meio ambiente</t>
  </si>
  <si>
    <t>Qualidade do leite</t>
  </si>
  <si>
    <t>8.7. Quais informações sobre a produção de leite tem mais carência? (Marque no máximo 3 alternativas)</t>
  </si>
  <si>
    <t>9.1. Distribuição % aproximada das vacas em lactação em cada tipo de sistema: Freestall (%)</t>
  </si>
  <si>
    <t>9.1. Distribuição % aproximada das vacas em lactação em cada tipo de sistema: Compost Barn (%)</t>
  </si>
  <si>
    <t>9.1. Distribuição % aproximada das vacas em lactação em cada tipo de sistema: Semiconfinado (%)</t>
  </si>
  <si>
    <t>9.1. Distribuição % aproximada das vacas em lactação em cada tipo de sistema: Piquete rotacionado (%)</t>
  </si>
  <si>
    <t>9.1. Distribuição % aproximada das vacas em lactação em cada tipo de sistema: Pasto extensivo (%)</t>
  </si>
  <si>
    <t>9.2. Utiliza técnicas para conforto dos animais? (Pode marcar mais de uma opção)</t>
  </si>
  <si>
    <t>Galpão coberto</t>
  </si>
  <si>
    <t>Sombrite ou tela de sombreamento</t>
  </si>
  <si>
    <t>Cobertura vegetal (árvores, sombra natural)</t>
  </si>
  <si>
    <t>Exaustores</t>
  </si>
  <si>
    <t>Ventiladores mecânicos</t>
  </si>
  <si>
    <t xml:space="preserve">Aspersores ou nebulizadores </t>
  </si>
  <si>
    <t>Sistema de resfriamento evaporativo</t>
  </si>
  <si>
    <t>Bebedouros</t>
  </si>
  <si>
    <t>Controle automatizado de temperatura/umidade</t>
  </si>
  <si>
    <t>Piso emborrachado ou drenante nas áreas de espera</t>
  </si>
  <si>
    <t>9.3. Possui energia elétrica na propriedade?</t>
  </si>
  <si>
    <t>9.4. Possui internet na propriedade?</t>
  </si>
  <si>
    <t>9.7. Quais desses equipamentos próprios são utilizados na produção de leite: (Pode marcar mais de uma opção)</t>
  </si>
  <si>
    <t>Picadeira</t>
  </si>
  <si>
    <t>Balança para os animais</t>
  </si>
  <si>
    <t>Trator</t>
  </si>
  <si>
    <t>Vagão forrageiro</t>
  </si>
  <si>
    <t>Plantadeira</t>
  </si>
  <si>
    <t>Grade</t>
  </si>
  <si>
    <t>Arado</t>
  </si>
  <si>
    <t>Ensiladeira</t>
  </si>
  <si>
    <t>Distribuidor de calcário</t>
  </si>
  <si>
    <t>Misturador de ração</t>
  </si>
  <si>
    <t>9.8. Qual o destino de dejetos líquidos e sólidos? (Pode marcar mais de uma opção)</t>
  </si>
  <si>
    <t>9.9. Quais dessas técnicas sustentáveis são utilizadas? (Pode marcar mais de uma opção)</t>
  </si>
  <si>
    <t>Plantio direto</t>
  </si>
  <si>
    <t>Cobertura do solo</t>
  </si>
  <si>
    <t>Descarte adequado de embalagens (herbicida e defensivos)</t>
  </si>
  <si>
    <t>Tratamento de efluentes da residência</t>
  </si>
  <si>
    <t>Rotação de culturas</t>
  </si>
  <si>
    <t>10.1. Idade média que desfaz dos machos (meses)</t>
  </si>
  <si>
    <t>10.2. Idade média de desmama dos bezerros(as) (meses)</t>
  </si>
  <si>
    <t>10.3. Peso médio ao desmame dos bezerros(as) (Kg)</t>
  </si>
  <si>
    <t>10.4. Idade média das novilhas ao primeiro parto (meses)</t>
  </si>
  <si>
    <t>10.5. Intervalo entre partos médio (meses)</t>
  </si>
  <si>
    <t>10.6. Taxa de mortalidade média de bezerros (%)</t>
  </si>
  <si>
    <t>10.7. Taxa de mortalidade média de animais adultos (%)</t>
  </si>
  <si>
    <t>10.9. Quais critérios sanitários contra enfermidades são aplicados ao rebanho: (Pode marcar mais de uma opção)</t>
  </si>
  <si>
    <t>Manqueira</t>
  </si>
  <si>
    <t>Brucelose</t>
  </si>
  <si>
    <t>Paratifo</t>
  </si>
  <si>
    <t>Raiva</t>
  </si>
  <si>
    <t>Enterotoxemia</t>
  </si>
  <si>
    <t>Botulismo</t>
  </si>
  <si>
    <t>Vermifugação</t>
  </si>
  <si>
    <t>Carrapaticida</t>
  </si>
  <si>
    <t>IBR/BVD</t>
  </si>
  <si>
    <t>Leptospirose</t>
  </si>
  <si>
    <t>10.10. Técnicas utilizadas no manejo de ordenha: (Pode marcar mais de uma opção)</t>
  </si>
  <si>
    <t>Teste da caneca</t>
  </si>
  <si>
    <t>Pré-dipping</t>
  </si>
  <si>
    <t>Pós-dipping</t>
  </si>
  <si>
    <t>Linha de ordenha</t>
  </si>
  <si>
    <t>Alimentação durante a ordenha</t>
  </si>
  <si>
    <t>Alimentação após a ordenha</t>
  </si>
  <si>
    <t>Identificação de animais tratados com antibiótico</t>
  </si>
  <si>
    <t>10.11. Sistema de reprodução: (Pode marcar mais de uma opção)</t>
  </si>
  <si>
    <t>FIV/TE</t>
  </si>
  <si>
    <t>Inseminação artificial/IATF</t>
  </si>
  <si>
    <t>Natural controlada</t>
  </si>
  <si>
    <t>Natural não controlada</t>
  </si>
  <si>
    <t>10.12. Tipo de aleitamento:</t>
  </si>
  <si>
    <t>10.13. Critério para primeira cobertura:</t>
  </si>
  <si>
    <t>10.14. Frequência de uso do concentrado para vacas em lactação:</t>
  </si>
  <si>
    <t>10.15. Quando usa concentrado ele é distribuído de acordo com a produção das vacas?</t>
  </si>
  <si>
    <t>10.16. Tipo de suplementação volumosa utilizado: (Pode marcar mais de uma opção)</t>
  </si>
  <si>
    <t>Cana-de-açúcar</t>
  </si>
  <si>
    <t>Capineira</t>
  </si>
  <si>
    <t>Silagem de capim</t>
  </si>
  <si>
    <t>Silagem de milho</t>
  </si>
  <si>
    <t>Silagem de sorgo</t>
  </si>
  <si>
    <t>Outra silagem</t>
  </si>
  <si>
    <t xml:space="preserve">Feno </t>
  </si>
  <si>
    <t>Palma</t>
  </si>
  <si>
    <t>Não fornece suplementação</t>
  </si>
  <si>
    <t>11.2. Há quanto tempo vende para o mesmo comprador? (anos)</t>
  </si>
  <si>
    <t>11.3. Preço recebido no último mês? (R$/litro)</t>
  </si>
  <si>
    <t>11.4. Preço médio recebido nas águas? (R$/litro)</t>
  </si>
  <si>
    <t>11.5. Preço médio recebido na seca? (R$/litro)</t>
  </si>
  <si>
    <t>11.7. Quais bonificações são realizadas pelo laticínio que compra seu leite: (Pode marcar mais de uma opção)</t>
  </si>
  <si>
    <t>Volume de leite entregue</t>
  </si>
  <si>
    <t>Nível de CCS</t>
  </si>
  <si>
    <t>Nível de CBT</t>
  </si>
  <si>
    <t>Teor de gordura</t>
  </si>
  <si>
    <t>Teor de proteína</t>
  </si>
  <si>
    <t>Critérios de sustentabilidade e BPA</t>
  </si>
  <si>
    <t>11.8. Qual sua opinião sobre o sistema de pagamento com bonificação? [Por volume de leite]</t>
  </si>
  <si>
    <t>11.8. Qual sua opinião sobre o sistema de pagamento com bonificação? [Por qualidade do leite]</t>
  </si>
  <si>
    <t>11.8. Qual sua opinião sobre o sistema de pagamento com bonificação? [Por critérios de sustentabilidade]</t>
  </si>
  <si>
    <t>11.9. Tem contrato formal com o laticínio que compra seu leite?</t>
  </si>
  <si>
    <t>11.10. Como avalia a importância de um contrato formal com o laticínio?</t>
  </si>
  <si>
    <t>Coimbra</t>
  </si>
  <si>
    <t>Suavemente acidentado ou acidentado</t>
  </si>
  <si>
    <t>Não familiar</t>
  </si>
  <si>
    <t>Intensivo</t>
  </si>
  <si>
    <t>Alvenaria</t>
  </si>
  <si>
    <t>CAR - Cadastro Ambiental Rural, Cursos d’água/riacho/nascentes/mina, Área de preservação permanentes, Área de reserva legal, Serviço de telefonia</t>
  </si>
  <si>
    <t>Sim</t>
  </si>
  <si>
    <t>Não</t>
  </si>
  <si>
    <t>Masculino</t>
  </si>
  <si>
    <t>Pós-graduação</t>
  </si>
  <si>
    <t>Na cidade</t>
  </si>
  <si>
    <t>Regular</t>
  </si>
  <si>
    <t>Falta de crédito rural, com taxas de juros compatíveis com a atividade, Instabilidade de políticas públicas, Legislação trabalhista</t>
  </si>
  <si>
    <t>Qualidade genética dos animais, Alimentação do rebanho, Reprodução do rebanho</t>
  </si>
  <si>
    <t>Aumentar a produção</t>
  </si>
  <si>
    <t>Filhos continuarão com a produção de leite</t>
  </si>
  <si>
    <t>PRONAMPE, Plano Safra</t>
  </si>
  <si>
    <t>Tanque de expansão</t>
  </si>
  <si>
    <t>Sala de ordenha com fosso</t>
  </si>
  <si>
    <t>Mecânica</t>
  </si>
  <si>
    <t>Todos os dias</t>
  </si>
  <si>
    <t>Mista</t>
  </si>
  <si>
    <t>Brachiaria, Tifton</t>
  </si>
  <si>
    <t>Proprietário(a) e família</t>
  </si>
  <si>
    <t>Produção de leite, Produtividade</t>
  </si>
  <si>
    <t>Utiliza os indicadores econômicos de forma sistemática para tomada de decisão</t>
  </si>
  <si>
    <t>Assistência técnica, Treinamento (curso, palestra, etc.), Outras mídias sociais</t>
  </si>
  <si>
    <t>Alimentação do rebanho, Manejo do rebanho, Gerenciamento da produção</t>
  </si>
  <si>
    <t>Cálculo do custo de produção, Mercado do leite</t>
  </si>
  <si>
    <t>Galpão coberto, Ventiladores mecânicos, Aspersores ou nebulizadores, Sistema de resfriamento evaporativo, Bebedouros, Controle automatizado de temperatura/umidade</t>
  </si>
  <si>
    <t>Residência e locais de produção</t>
  </si>
  <si>
    <t>Em toda fazenda</t>
  </si>
  <si>
    <t>Balança para os animais, Trator, Vagão forrageiro, Ensiladeira, Misturador de ração</t>
  </si>
  <si>
    <t>Chorumeira</t>
  </si>
  <si>
    <t>Plantio direto, Cobertura do solo, Descarte adequado de embalagens (herbicida e defensivos), Tratamento de efluentes da residência</t>
  </si>
  <si>
    <t>Manqueira, Brucelose, Paratifo, Raiva, Enterotoxemia, Botulismo, Vermifugação, Carrapaticida, IBR/BVD, Leptospirose</t>
  </si>
  <si>
    <t>Teste da caneca, Pré-dipping, Pós-dipping, Linha de ordenha, Alimentação após a ordenha, Identificação de animais tratados com antibiótico</t>
  </si>
  <si>
    <t>Artificial</t>
  </si>
  <si>
    <t>Idade e peso das novilhas</t>
  </si>
  <si>
    <t>Ano todo</t>
  </si>
  <si>
    <t>Nível de CCS, Nível de CBT, Teor de gordura</t>
  </si>
  <si>
    <t>Concorda</t>
  </si>
  <si>
    <t>Muito importante</t>
  </si>
  <si>
    <t>Fortemente acidentado</t>
  </si>
  <si>
    <t>CAR - Cadastro Ambiental Rural, Cursos d’água/riacho/nascentes/mina, Vegetação nativa/mata/floresta, Área de preservação permanentes, Área de reserva legal, Serviço de água potável, Serviço de esgoto doméstico tratado, Serviço de telefonia</t>
  </si>
  <si>
    <t>Ensino médio incompleto</t>
  </si>
  <si>
    <t>Na propriedade rural</t>
  </si>
  <si>
    <t>Aposentadoria, PRONAMPE</t>
  </si>
  <si>
    <t>Por gostar, Por proporcionar renda mensal, Combina com outras explorações da propriedade</t>
  </si>
  <si>
    <t>Falta de mão de obra, Custo dos insumos, Instabilidade de políticas públicas</t>
  </si>
  <si>
    <t>Mão de obra qualificada, Sanidade do rebanho, Preço do leite</t>
  </si>
  <si>
    <t>Filhos deixarão o meio rural</t>
  </si>
  <si>
    <t>Plantada</t>
  </si>
  <si>
    <t>Controle de plantas invasoras, Rotação de pastagens, Divisão em piquetes, Cerca elétrica nos piquetes</t>
  </si>
  <si>
    <t>Administrador(a) e proprietário(a)</t>
  </si>
  <si>
    <t>Produção de leite, Produtividade, Despesas</t>
  </si>
  <si>
    <t>Assistência técnica, Jornais e revistas agropecuários, Outras mídias sociais</t>
  </si>
  <si>
    <t>Sanidade do rebanho, Melhoramento genético, Qualidade do leite</t>
  </si>
  <si>
    <t>Mercado do leite, Produção de leite e meio ambiente</t>
  </si>
  <si>
    <t>Galpão coberto, Ventiladores mecânicos, Bebedouros</t>
  </si>
  <si>
    <t>Trator, Vagão forrageiro, Plantadeira, Grade, Ensiladeira, Distribuidor de calcário, Misturador de ração</t>
  </si>
  <si>
    <t>Plantio direto, Cobertura do solo, Descarte adequado de embalagens (herbicida e defensivos), Tratamento de efluentes da residência, Rotação de culturas</t>
  </si>
  <si>
    <t>Teste da caneca, Pré-dipping, Pós-dipping, Alimentação após a ordenha, Identificação de animais tratados com antibiótico</t>
  </si>
  <si>
    <t>FIV/TE, Inseminação artificial/IATF</t>
  </si>
  <si>
    <t>Peso das novilhas</t>
  </si>
  <si>
    <t>Volume de leite entregue, Nível de CCS, Nível de CBT, Teor de gordura, Teor de proteína</t>
  </si>
  <si>
    <t>Paula Cândido</t>
  </si>
  <si>
    <t>Familiar</t>
  </si>
  <si>
    <t>Semiextensivo</t>
  </si>
  <si>
    <t>Não possui</t>
  </si>
  <si>
    <t>Madeira</t>
  </si>
  <si>
    <t>CAR - Cadastro Ambiental Rural, Cursos d’água/riacho/nascentes/mina, Vegetação nativa/mata/floresta, Área de preservação permanentes, Área de reserva legal, Serviço de água potável, Serviço de telefonia</t>
  </si>
  <si>
    <t>Ensino médio completo</t>
  </si>
  <si>
    <t>Bolsa família, PRONAF</t>
  </si>
  <si>
    <t>Por gostar, Por proporcionar renda mensal, Emprega a família</t>
  </si>
  <si>
    <t>Mão de obra qualificada, Preço do leite</t>
  </si>
  <si>
    <t>Continuar como está</t>
  </si>
  <si>
    <t>De 2 em 2 dias</t>
  </si>
  <si>
    <t>Apenas o(a) proprietário(a)</t>
  </si>
  <si>
    <t>Produção de leite, Produtividade, Receitas, Despesas</t>
  </si>
  <si>
    <t>Assistência técnica, Vizinho, amigo ou parente</t>
  </si>
  <si>
    <t>Planejamento da empresa rural, Alimentação do rebanho, Sanidade do rebanho</t>
  </si>
  <si>
    <t>Galpão coberto, Cobertura vegetal (árvores, sombra natural), Ventiladores mecânicos, Bebedouros</t>
  </si>
  <si>
    <t>Somente na residência</t>
  </si>
  <si>
    <t>Picadeira, Trator, Plantadeira, Grade, Arado, Ensiladeira, Distribuidor de calcário, Misturador de ração</t>
  </si>
  <si>
    <t>“Raspado” e/ou armazenado</t>
  </si>
  <si>
    <t>Plantio direto, Cobertura do solo, Descarte adequado de embalagens (herbicida e defensivos)</t>
  </si>
  <si>
    <t>Pré-dipping, Pós-dipping, Linha de ordenha</t>
  </si>
  <si>
    <t>Por proporcionar renda mensal, Tem mercado garantido</t>
  </si>
  <si>
    <t>Qualidade genética dos animais, Alimentação do rebanho, Preço do leite</t>
  </si>
  <si>
    <t>Brachiaria, Panicum, Tifton</t>
  </si>
  <si>
    <t>Correção e adubação do solo na implantação, Adubação anual de cobertura, Controle de plantas invasoras, Rotação de pastagens, Divisão em piquetes, Cerca elétrica nos piquetes</t>
  </si>
  <si>
    <t>Assistência técnica, Vizinho, amigo ou parente, Treinamento (curso, palestra, etc.), Jornais e revistas agropecuários, Outras mídias sociais</t>
  </si>
  <si>
    <t>Planejamento da empresa rural, Cálculo do custo de produção, Manejo do rebanho</t>
  </si>
  <si>
    <t>Cobertura vegetal (árvores, sombra natural), Ventiladores mecânicos, Aspersores ou nebulizadores, Bebedouros</t>
  </si>
  <si>
    <t>Plantio direto, Cobertura do solo, Descarte adequado de embalagens (herbicida e defensivos), Rotação de culturas</t>
  </si>
  <si>
    <t>Teste da caneca, Pré-dipping, Pós-dipping, Linha de ordenha, Alimentação durante a ordenha, Alimentação após a ordenha</t>
  </si>
  <si>
    <t>Nível de CCS, Nível de CBT, Teor de gordura, Teor de proteína</t>
  </si>
  <si>
    <t>Cajuri</t>
  </si>
  <si>
    <t>CAR - Cadastro Ambiental Rural, Cursos d’água/riacho/nascentes/mina, Vegetação nativa/mata/floresta, Área de preservação permanentes, Área de reserva legal, Serviço de água potável</t>
  </si>
  <si>
    <t>Bom</t>
  </si>
  <si>
    <t>Falta de mão de obra, Deficiência na qualificação da mão de obra, Falta de crédito rural, com taxas de juros compatíveis com a atividade</t>
  </si>
  <si>
    <t>Mão de obra qualificada, Sanidade do rebanho, Alimentação do rebanho</t>
  </si>
  <si>
    <t>Produção de leite, Produtividade, Receitas</t>
  </si>
  <si>
    <t>Planejamento da empresa rural, Cálculo do custo de produção, Sanidade do rebanho</t>
  </si>
  <si>
    <t>Galpão coberto, Ventiladores mecânicos, Sistema de resfriamento evaporativo, Bebedouros, Controle automatizado de temperatura/umidade</t>
  </si>
  <si>
    <t>Balança para os animais, Trator, Vagão forrageiro, Plantadeira, Grade, Ensiladeira, Distribuidor de calcário, Misturador de ração</t>
  </si>
  <si>
    <t>Não tem destino certo</t>
  </si>
  <si>
    <t>Manqueira, Brucelose, Paratifo, Raiva, Enterotoxemia, Vermifugação, Carrapaticida, IBR/BVD, Leptospirose</t>
  </si>
  <si>
    <t>Extremamente acidentado</t>
  </si>
  <si>
    <t>CAR - Cadastro Ambiental Rural, Cursos d’água/riacho/nascentes/mina, Vegetação nativa/mata/floresta, Área de preservação permanentes, Área de reserva legal, Serviço de telefonia</t>
  </si>
  <si>
    <t>Ensino fundamental incompleto</t>
  </si>
  <si>
    <t>Muito bom</t>
  </si>
  <si>
    <t>Por gostar, Por ser uma atividade lucrativa, Por proporcionar renda mensal</t>
  </si>
  <si>
    <t>Controle de plantas invasoras, Divisão em piquetes, Cerca elétrica nos piquetes</t>
  </si>
  <si>
    <t>Produtividade, Receitas</t>
  </si>
  <si>
    <t>Assistência técnica, Outras mídias sociais</t>
  </si>
  <si>
    <t>Planejamento da empresa rural, Alimentação do rebanho, Qualidade do leite</t>
  </si>
  <si>
    <t>Galpão coberto, Cobertura vegetal (árvores, sombra natural), Ventiladores mecânicos, Aspersores ou nebulizadores, Bebedouros, Controle automatizado de temperatura/umidade</t>
  </si>
  <si>
    <t>Trator, Plantadeira, Grade, Ensiladeira, Misturador de ração</t>
  </si>
  <si>
    <t>Manqueira, Brucelose, Raiva, Botulismo, Vermifugação, IBR/BVD, Leptospirose</t>
  </si>
  <si>
    <t>Inseminação artificial/IATF, Natural não controlada</t>
  </si>
  <si>
    <t>Não tem critério definido</t>
  </si>
  <si>
    <t>Pouco importante</t>
  </si>
  <si>
    <t>Presidente Bernardes</t>
  </si>
  <si>
    <t>CAR - Cadastro Ambiental Rural, Cursos d’água/riacho/nascentes/mina, Vegetação nativa/mata/floresta, Área de preservação permanentes</t>
  </si>
  <si>
    <t>Falta de mão de obra, Deficiência na qualificação da mão de obra, Custo dos insumos</t>
  </si>
  <si>
    <t>Sanidade do rebanho, Qualidade genética dos animais, Preço do leite</t>
  </si>
  <si>
    <t>Não tem pastagem</t>
  </si>
  <si>
    <t>Produtividade, Venda de genética, Venda de animais</t>
  </si>
  <si>
    <t>Sanidade do rebanho, Manejo do rebanho, Melhoramento genético</t>
  </si>
  <si>
    <t>Galpão coberto, Ventiladores mecânicos, Aspersores ou nebulizadores, Sistema de resfriamento evaporativo, Bebedouros</t>
  </si>
  <si>
    <t>Picadeira, Balança para os animais, Trator, Vagão forrageiro, Grade, Misturador de ração</t>
  </si>
  <si>
    <t>Manqueira, Brucelose, Raiva, Enterotoxemia, Botulismo, Vermifugação, Carrapaticida, IBR/BVD, Leptospirose</t>
  </si>
  <si>
    <t>Natural</t>
  </si>
  <si>
    <t>Cana-de-açúcar, Capineira, Silagem de milho</t>
  </si>
  <si>
    <t>Por gostar, A atividade leiteira é uma tradição na família</t>
  </si>
  <si>
    <t>Deficiência na qualificação da mão de obra, Falta de crédito rural, com taxas de juros compatíveis com a atividade, Custo dos insumos</t>
  </si>
  <si>
    <t>Mão de obra qualificada, Qualidade genética dos animais, Manejo do rebanho</t>
  </si>
  <si>
    <t>Correção e adubação do solo na implantação, Controle de plantas invasoras, Rotação de pastagens, Divisão em piquetes</t>
  </si>
  <si>
    <t>Acompanha o fluxo de caixa e calcula periodicamente custos de produção e margens</t>
  </si>
  <si>
    <t>Cálculo do custo de produção, Alimentação do rebanho, Sanidade do rebanho</t>
  </si>
  <si>
    <t>Galpão coberto, Sombrite ou tela de sombreamento, Cobertura vegetal (árvores, sombra natural), Ventiladores mecânicos, Aspersores ou nebulizadores, Sistema de resfriamento evaporativo, Bebedouros</t>
  </si>
  <si>
    <t>Picadeira, Trator, Misturador de ração</t>
  </si>
  <si>
    <t>Cobertura do solo, Descarte adequado de embalagens (herbicida e defensivos)</t>
  </si>
  <si>
    <t>Capineira, Silagem de milho</t>
  </si>
  <si>
    <t>Mão de obra qualificada, Sanidade do rebanho, Qualidade genética dos animais</t>
  </si>
  <si>
    <t>Documentação pessoal incompleta, Não precisou de crédito</t>
  </si>
  <si>
    <t>Cálculo do custo de produção, Alimentação do rebanho, Sanidade do rebanho, Melhoramento genético</t>
  </si>
  <si>
    <t>Picadeira, Trator, Vagão forrageiro, Plantadeira, Grade, Ensiladeira, Misturador de ração</t>
  </si>
  <si>
    <t>Plantio direto, Cobertura do solo</t>
  </si>
  <si>
    <t>Manqueira, Brucelose, Raiva, Enterotoxemia, Vermifugação, Carrapaticida, IBR/BVD, Leptospirose</t>
  </si>
  <si>
    <t>Teste da caneca, Pré-dipping, Pós-dipping, Linha de ordenha, Alimentação durante a ordenha</t>
  </si>
  <si>
    <t>Cana-de-açúcar, Silagem de capim, Silagem de milho</t>
  </si>
  <si>
    <t>Não concorda</t>
  </si>
  <si>
    <t>Ensino superior completo</t>
  </si>
  <si>
    <t>Por ser uma atividade lucrativa, Por proporcionar renda mensal, Tem mercado garantido</t>
  </si>
  <si>
    <t>Falta de crédito rural, com taxas de juros compatíveis com a atividade, Instabilidade de políticas públicas</t>
  </si>
  <si>
    <t>Qualidade genética dos animais, Alimentação do rebanho, Conhecimento de técnicas eficientes</t>
  </si>
  <si>
    <t>Sala de ordenha cimentada ou calçada</t>
  </si>
  <si>
    <t>Produção de leite, Produtividade, Receitas, Despesas, Venda de animais</t>
  </si>
  <si>
    <t>Planejamento da empresa rural, Sanidade do rebanho, Manejo do rebanho</t>
  </si>
  <si>
    <t>Aspersores ou nebulizadores</t>
  </si>
  <si>
    <t>Picadeira, Misturador de ração</t>
  </si>
  <si>
    <t>Plantio direto, Descarte adequado de embalagens (herbicida e defensivos)</t>
  </si>
  <si>
    <t>Teste da caneca, Pré-dipping, Pós-dipping, Alimentação durante a ordenha, Alimentação após a ordenha</t>
  </si>
  <si>
    <t>Cana-de-açúcar, Silagem de milho</t>
  </si>
  <si>
    <t>Ensino fundamental completo</t>
  </si>
  <si>
    <t>Custo dos insumos, Instabilidade de políticas públicas</t>
  </si>
  <si>
    <t>Qualidade genética dos animais, Manejo do rebanho, Reprodução do rebanho</t>
  </si>
  <si>
    <t>Propriedade será vendida</t>
  </si>
  <si>
    <t>Alimentação do rebanho, Melhoramento genético, Qualidade do leite</t>
  </si>
  <si>
    <t>Galpão coberto, Sombrite ou tela de sombreamento, Cobertura vegetal (árvores, sombra natural), Ventiladores mecânicos, Bebedouros</t>
  </si>
  <si>
    <t>Trator, Vagão forrageiro, Misturador de ração</t>
  </si>
  <si>
    <t>Plantio direto, Cobertura do solo, Rotação de culturas</t>
  </si>
  <si>
    <t>Inseminação artificial/IATF, Natural controlada</t>
  </si>
  <si>
    <t>Volume de leite entregue, Nível de CCS, Nível de CBT, Teor de gordura</t>
  </si>
  <si>
    <t>Não é importante</t>
  </si>
  <si>
    <t>CAR - Cadastro Ambiental Rural, Cursos d’água/riacho/nascentes/mina, Vegetação nativa/mata/floresta, Área de preservação permanentes, Área de reserva legal</t>
  </si>
  <si>
    <t>Por gostar, Por ser uma atividade lucrativa, Tem mercado garantido</t>
  </si>
  <si>
    <t>Custo dos insumos, Deficiência na infraestrutura de transporte/estradas</t>
  </si>
  <si>
    <t>Alimentação do rebanho, Reprodução do rebanho</t>
  </si>
  <si>
    <t>Controle de plantas invasoras</t>
  </si>
  <si>
    <t>Produção de leite, Produtividade, Venda de genética</t>
  </si>
  <si>
    <t>Cobertura vegetal (árvores, sombra natural), Ventiladores mecânicos, Aspersores ou nebulizadores, Sistema de resfriamento evaporativo, Bebedouros</t>
  </si>
  <si>
    <t>Picadeira, Trator, Plantadeira, Grade, Ensiladeira, Distribuidor de calcário, Misturador de ração</t>
  </si>
  <si>
    <t>Descarte adequado de embalagens (herbicida e defensivos), Tratamento de efluentes da residência, Rotação de culturas</t>
  </si>
  <si>
    <t>Teste da caneca, Pré-dipping, Pós-dipping, Linha de ordenha, Alimentação após a ordenha</t>
  </si>
  <si>
    <t>Teixeiras</t>
  </si>
  <si>
    <t>Por proporcionar renda mensal, A atividade leiteira é uma tradição na família, Combina com outras explorações da propriedade</t>
  </si>
  <si>
    <t>Falta de mão de obra, Falta de crédito rural, com taxas de juros compatíveis com a atividade, Instabilidade de políticas públicas</t>
  </si>
  <si>
    <t>Filhos trocarão de atividade rural</t>
  </si>
  <si>
    <t>Brachiaria, Capim-elefante</t>
  </si>
  <si>
    <t>Correção e adubação do solo na implantação, Adubação anual de cobertura, Controle de plantas invasoras</t>
  </si>
  <si>
    <t>Alimentação do rebanho, Sanidade do rebanho, Qualidade do leite</t>
  </si>
  <si>
    <t>Planejamento da empresa rural, Mercado do leite, Melhoramento genético</t>
  </si>
  <si>
    <t>Galpão coberto, Exaustores ou sistemas de ventilação forçada, Ventiladores mecânicos, Bebedouros</t>
  </si>
  <si>
    <t>Picadeira, Trator, Plantadeira, Grade, Ensiladeira, Misturador de ração</t>
  </si>
  <si>
    <t>Composteira</t>
  </si>
  <si>
    <t>Manqueira, Brucelose, Raiva, Vermifugação, IBR/BVD, Leptospirose</t>
  </si>
  <si>
    <t>Volume de leite entregue, Nível de CCS, Nível de CBT</t>
  </si>
  <si>
    <t>Porto Firme</t>
  </si>
  <si>
    <t>Por gostar, Por ser uma atividade lucrativa, A atividade leiteira é uma tradição na família</t>
  </si>
  <si>
    <t>Falta de mão de obra, Falta de crédito rural, com taxas de juros compatíveis com a atividade, Custo dos insumos</t>
  </si>
  <si>
    <t>Sanidade do rebanho, Alimentação do rebanho, Manejo do rebanho</t>
  </si>
  <si>
    <t>Correção e adubação do solo na implantação, Adubação anual de cobertura, Divisão em piquetes, Cerca elétrica nos piquetes</t>
  </si>
  <si>
    <t>Cálculo do custo de produção, Sanidade do rebanho, Qualidade do leite</t>
  </si>
  <si>
    <t>Planejamento da empresa rural, Cálculo do custo de produção, Melhoramento genético</t>
  </si>
  <si>
    <t>Sombrite ou tela de sombreamento, Cobertura vegetal (árvores, sombra natural), Exaustores ou sistemas de ventilação forçada, Ventiladores mecânicos, Aspersores ou nebulizadores, Sistema de resfriamento evaporativo, Bebedouros</t>
  </si>
  <si>
    <t>Manqueira, Brucelose, Raiva, Vermifugação, Carrapaticida, IBR/BVD, Leptospirose</t>
  </si>
  <si>
    <t>Cana-de-açúcar, Capineira, Silagem de capim, Silagem de milho</t>
  </si>
  <si>
    <t>CAR - Cadastro Ambiental Rural, Área de preservação permanentes, Área de reserva legal</t>
  </si>
  <si>
    <t>Por gostar, Por proporcionar renda mensal</t>
  </si>
  <si>
    <t>Falta de mão de obra, Instabilidade de políticas públicas</t>
  </si>
  <si>
    <t>Qualidade genética dos animais, Alimentação do rebanho, Manejo do rebanho</t>
  </si>
  <si>
    <t>Produtividade, Receitas, Despesas</t>
  </si>
  <si>
    <t>Picadeira, Trator, Vagão forrageiro</t>
  </si>
  <si>
    <t>Manqueira, Brucelose, Raiva, Enterotoxemia, Botulismo, Vermifugação, IBR/BVD, Leptospirose</t>
  </si>
  <si>
    <t>Pré-dipping, Pós-dipping</t>
  </si>
  <si>
    <t>Canaã</t>
  </si>
  <si>
    <t>Qualidade genética dos animais, Reprodução do rebanho, Preço do leite</t>
  </si>
  <si>
    <t>Alimentação do rebanho, Sanidade do rebanho</t>
  </si>
  <si>
    <t>Galpão coberto, Ventiladores mecânicos</t>
  </si>
  <si>
    <t>Picadeira, Trator, Vagão forrageiro, Misturador de ração</t>
  </si>
  <si>
    <t>Manqueira, Brucelose, Paratifo, Raiva, Enterotoxemia, Botulismo, Vermifugação, IBR/BVD, Leptospirose</t>
  </si>
  <si>
    <t>Ubari</t>
  </si>
  <si>
    <t>Nenhum dos anteriores</t>
  </si>
  <si>
    <t>Ensino superior incompleto</t>
  </si>
  <si>
    <t>Por gostar, Por ser uma atividade lucrativa</t>
  </si>
  <si>
    <t>Produção de leite, Despesas</t>
  </si>
  <si>
    <t>Cálculo do custo de produção, Alimentação do rebanho</t>
  </si>
  <si>
    <t>Galpão coberto, Aspersores ou nebulizadores, Bebedouros</t>
  </si>
  <si>
    <t>Trator, Ensiladeira</t>
  </si>
  <si>
    <t>Teste da caneca, Pré-dipping, Pós-dipping, Alimentação após a ordenha</t>
  </si>
  <si>
    <t>FIV/TE, Inseminação artificial/IATF, Natural controlada</t>
  </si>
  <si>
    <t>Silagem de milho, Silagem de sorgo, Feno</t>
  </si>
  <si>
    <t>CAR - Cadastro Ambiental Rural, Cursos d’água/riacho/nascentes/mina, Vegetação nativa/mata/floresta, Área de preservação permanentes, Serviço de água potável</t>
  </si>
  <si>
    <t>Feminino</t>
  </si>
  <si>
    <t>Por gostar, Tem mercado garantido, Outro</t>
  </si>
  <si>
    <t>Alimentação do rebanho, Reprodução do rebanho, Conhecimento de técnicas eficientes</t>
  </si>
  <si>
    <t>Leite não é resfriado na fazenda</t>
  </si>
  <si>
    <t>Assistência técnica, Treinamento (curso, palestra, etc.)</t>
  </si>
  <si>
    <t>Alimentação do rebanho, Sanidade do rebanho, Melhoramento genético</t>
  </si>
  <si>
    <t>Cálculo do custo de produção, Sanidade do rebanho, Melhoramento genético</t>
  </si>
  <si>
    <t>Galpão coberto, Cobertura vegetal (árvores, sombra natural), Bebedouros</t>
  </si>
  <si>
    <t>Não tem acesso à internet</t>
  </si>
  <si>
    <t>Raiva, Vermifugação, Carrapaticida, IBR/BVD, Leptospirose</t>
  </si>
  <si>
    <t>Capineira, Silagem de sorgo</t>
  </si>
  <si>
    <t>Viçosa</t>
  </si>
  <si>
    <t>CAR - Cadastro Ambiental Rural, Serviço de telefonia</t>
  </si>
  <si>
    <t>PRONAF, PRONAMPE</t>
  </si>
  <si>
    <t>Falta de mão de obra, Custo dos insumos</t>
  </si>
  <si>
    <t>Qualidade genética dos animais, Reprodução do rebanho</t>
  </si>
  <si>
    <t>Produção de leite, Produtividade, Despesas, Venda de animais</t>
  </si>
  <si>
    <t>Alimentação do rebanho, Sanidade do rebanho, Gerenciamento da produção</t>
  </si>
  <si>
    <t>Trator, Vagão forrageiro, Plantadeira, Grade, Ensiladeira</t>
  </si>
  <si>
    <t>Manqueira, Brucelose, Raiva, Botulismo, Vermifugação, Carrapaticida, IBR/BVD, Leptospirose</t>
  </si>
  <si>
    <t>Piranga</t>
  </si>
  <si>
    <t>Mão de obra qualificada, Qualidade genética dos animais, Preço do leite</t>
  </si>
  <si>
    <t>Brachiaria, Cynodon</t>
  </si>
  <si>
    <t>Correção e adubação do solo na implantação, Controle de plantas invasoras, Rotação de pastagens</t>
  </si>
  <si>
    <t>Produção de leite, Produtividade, Receitas, Despesas, Venda de genética, Venda de animais</t>
  </si>
  <si>
    <t>Alimentação do rebanho, Manejo do rebanho, Qualidade do leite</t>
  </si>
  <si>
    <t>Galpão coberto, Cobertura vegetal (árvores, sombra natural), Ventiladores mecânicos, Aspersores ou nebulizadores, Sistema de resfriamento evaporativo, Bebedouros, Controle automatizado de temperatura/umidade</t>
  </si>
  <si>
    <t>Balança para os animais, Trator, Vagão forrageiro, Plantadeira, Grade, Arado, Ensiladeira, Distribuidor de calcário, Misturador de ração</t>
  </si>
  <si>
    <t>Volume de leite entregue, Nível de CCS, Nível de CBT, Teor de gordura, Teor de proteína, Critérios de sustentabilidade e BPA</t>
  </si>
  <si>
    <t>Manejo do rebanho, Preço do leite</t>
  </si>
  <si>
    <t>Planejamento da empresa rural, Cálculo do custo de produção, Sanidade do rebanho, Manejo do rebanho</t>
  </si>
  <si>
    <t>Cobertura vegetal (árvores, sombra natural), Bebedouros</t>
  </si>
  <si>
    <t>Picadeira, Trator, Plantadeira, Ensiladeira</t>
  </si>
  <si>
    <t>Teste da caneca, Pré-dipping, Pós-dipping, Linha de ordenha, Identificação de animais tratados com antibiótico</t>
  </si>
  <si>
    <t>Brachiaria, Panicum</t>
  </si>
  <si>
    <t>Alimentação do rebanho, Qualidade do leite</t>
  </si>
  <si>
    <t xml:space="preserve">Guiricema </t>
  </si>
  <si>
    <t>Ruim</t>
  </si>
  <si>
    <t>A atividade leiteira é uma tradição na família, Combina com outras explorações da propriedade, Tem mercado garantido</t>
  </si>
  <si>
    <t>Deficiência na qualificação da mão de obra, Custo dos insumos, Deficiência na infraestrutura de transporte/estradas</t>
  </si>
  <si>
    <t>Mão de obra qualificada, Sanidade do rebanho, Conhecimento de técnicas eficientes</t>
  </si>
  <si>
    <t>Adubação anual de cobertura, Controle de plantas invasoras, Rotação de pastagens, Divisão em piquetes, Cerca elétrica nos piquetes</t>
  </si>
  <si>
    <t>Cálculo do custo de produção, Alimentação do rebanho, Melhoramento genético</t>
  </si>
  <si>
    <t>Picadeira, Trator, Distribuidor de calcário, Misturador de ração</t>
  </si>
  <si>
    <t>Falta de mão de obra, Custo dos insumos, Legislação ambiental</t>
  </si>
  <si>
    <t>Sanidade do rebanho, Qualidade genética dos animais, Manejo do rebanho</t>
  </si>
  <si>
    <t>Controle de plantas invasoras, Divisão em piquetes</t>
  </si>
  <si>
    <t>Alimentação do rebanho, Sanidade do rebanho, Manejo do rebanho</t>
  </si>
  <si>
    <t>Planejamento da empresa rural, Melhoramento genético, Gerenciamento da produção</t>
  </si>
  <si>
    <t>Picadeira, Trator, Vagão forrageiro, Plantadeira, Grade, Arado, Ensiladeira, Distribuidor de calcário, Misturador de ração</t>
  </si>
  <si>
    <t>Capineira, Silagem de capim, Silagem de milho</t>
  </si>
  <si>
    <t>Por gostar, Por ser uma atividade lucrativa, Combina com outras explorações da propriedade</t>
  </si>
  <si>
    <t>Falta de mão de obra, Deficiência na qualificação da mão de obra</t>
  </si>
  <si>
    <t>Cálculo do custo de produção, Mercado do leite, Qualidade do leite</t>
  </si>
  <si>
    <t>Galpão coberto, Ventiladores mecânicos, Aspersores ou nebulizadores, Piso emborrachado ou drenante nas áreas de espera, Bebedouros</t>
  </si>
  <si>
    <t>Por gostar, Por proporcionar renda mensal, A atividade leiteira é uma tradição na família</t>
  </si>
  <si>
    <t>Sanidade do rebanho, Qualidade genética dos animais, Reprodução do rebanho</t>
  </si>
  <si>
    <t>Adubação anual de cobertura, Controle de plantas invasoras</t>
  </si>
  <si>
    <t>Mercado do leite, Sanidade do rebanho, Melhoramento genético</t>
  </si>
  <si>
    <t>Planejamento da empresa rural, Cálculo do custo de produção, Gerenciamento da produção</t>
  </si>
  <si>
    <t>Sombrite ou tela de sombreamento, Cobertura vegetal (árvores, sombra natural), Ventiladores mecânicos, Bebedouros</t>
  </si>
  <si>
    <t>CAR - Cadastro Ambiental Rural, Cursos d’água/riacho/nascentes/mina, Vegetação nativa/mata/floresta, Área de preservação permanentes, Área de reserva legal, Serviço de esgoto doméstico tratado, Serviço de telefonia</t>
  </si>
  <si>
    <t>PRONAF, Seguro Safra</t>
  </si>
  <si>
    <t>Por ser uma atividade lucrativa, A atividade leiteira é uma tradição na família, Tem mercado garantido</t>
  </si>
  <si>
    <t>Mão de obra qualificada, Alimentação do rebanho, Reprodução do rebanho</t>
  </si>
  <si>
    <t>Planejamento da empresa rural, Cálculo do custo de produção, Alimentação do rebanho</t>
  </si>
  <si>
    <t>Picadeira, Balança para os animais, Trator, Plantadeira, Grade, Arado, Ensiladeira, Distribuidor de calcário, Misturador de ração</t>
  </si>
  <si>
    <t>Cobertura do solo, Descarte adequado de embalagens (herbicida e defensivos), Tratamento de efluentes da residência</t>
  </si>
  <si>
    <t>Manqueira, Brucelose, Paratifo, Raiva, Botulismo, Vermifugação, Carrapaticida, IBR/BVD, Leptospirose</t>
  </si>
  <si>
    <t>Pré-dipping, Pós-dipping, Alimentação após a ordenha</t>
  </si>
  <si>
    <t>CAR - Cadastro Ambiental Rural, Cursos d’água/riacho/nascentes/mina, Vegetação nativa/mata/floresta, Área de preservação permanentes, Serviço de água potável, Serviço de telefonia</t>
  </si>
  <si>
    <t>Mão de obra qualificada, Sanidade do rebanho, Manejo do rebanho</t>
  </si>
  <si>
    <t>Correção e adubação do solo na implantação, Controle de plantas invasoras, Divisão em piquetes, Cerca elétrica nos piquetes</t>
  </si>
  <si>
    <t>Galpão coberto, Sombrite ou tela de sombreamento, Ventiladores mecânicos, Aspersores ou nebulizadores, Sistema de resfriamento evaporativo, Bebedouros</t>
  </si>
  <si>
    <t>Picadeira, Balança para os animais, Misturador de ração</t>
  </si>
  <si>
    <t>Teste da caneca, Pré-dipping, Pós-dipping, Linha de ordenha, Alimentação durante a ordenha, Alimentação após a ordenha, Identificação de animais tratados com antibiótico</t>
  </si>
  <si>
    <t>Cana-de-açúcar, Capineira, Silagem de milho, Silagem de sorgo</t>
  </si>
  <si>
    <t>Dores do Turvo</t>
  </si>
  <si>
    <t>Alimentação do rebanho, Reprodução do rebanho, Preço do leite</t>
  </si>
  <si>
    <t>Produção de leite, Produtividade, Venda de animais</t>
  </si>
  <si>
    <t>Balança para os animais, Trator, Vagão forrageiro, Grade, Misturador de ração</t>
  </si>
  <si>
    <t>Manqueira, Brucelose, Raiva, Vermifugação, Carrapaticida, Leptospirose</t>
  </si>
  <si>
    <t>Idade das novilhas</t>
  </si>
  <si>
    <t>Ubá</t>
  </si>
  <si>
    <t>Cursos d’água/riacho/nascentes/mina, Vegetação nativa/mata/floresta, Área de reserva legal, Serviço de água potável, Serviço de telefonia</t>
  </si>
  <si>
    <t>A atividade leiteira é uma tradição na família, Combina com outras explorações da propriedade</t>
  </si>
  <si>
    <t>Qualidade genética dos animais, Alimentação do rebanho</t>
  </si>
  <si>
    <t>Brachiaria, Panicum, Cynodon</t>
  </si>
  <si>
    <t>Galpão coberto, Ventiladores mecânicos, Aspersores ou nebulizadores, Bebedouros</t>
  </si>
  <si>
    <t>Rótulos de Linha</t>
  </si>
  <si>
    <t>Total Geral</t>
  </si>
  <si>
    <t>Contagem de 1.5. Sistema de produção de leite cru?</t>
  </si>
  <si>
    <t>TIPOLOGIA DA PRODUÇÃO DE LEITE</t>
  </si>
  <si>
    <t>ESTRATO DE PRODUÇÃO (L/DIA)</t>
  </si>
  <si>
    <t>4) 1001 a 2500</t>
  </si>
  <si>
    <t>2) 201 a 500</t>
  </si>
  <si>
    <t>1) Até 200</t>
  </si>
  <si>
    <t>5) Acima de 2501</t>
  </si>
  <si>
    <t>3) 501 a 1000</t>
  </si>
  <si>
    <t>Contagem de TIPOLOGIA DA PRODUÇÃO DE LEITE</t>
  </si>
  <si>
    <t>Contagem de ESTRATO DE PRODUÇÃO (L/DIA)</t>
  </si>
  <si>
    <t>Contagem de 1.2. Topografia/relevo predominante da propriedade rural:</t>
  </si>
  <si>
    <t>Média de 2.1. Idade (anos)</t>
  </si>
  <si>
    <t>Média de 2.2. Tempo que é produtor(a) de leite (anos)</t>
  </si>
  <si>
    <t>Valores</t>
  </si>
  <si>
    <t>Contagem de 2.3. Sexo</t>
  </si>
  <si>
    <t>Contagem de 2.4. Escolaridade:</t>
  </si>
  <si>
    <t>Contagem de 2.5. Residência principal (mais de 50% do tempo):</t>
  </si>
  <si>
    <t>Média de 2.6. Distribuição da área utilizada na produção leiteira: Própria (%)</t>
  </si>
  <si>
    <t>Média de 2.6. Distribuição da área utilizada na produção leiteira: Arrendada (%)</t>
  </si>
  <si>
    <t>Média de 2.6. Distribuição da área utilizada na produção leiteira: Parceria (%)</t>
  </si>
  <si>
    <t>Média de 2.6. Distribuição da área utilizada na produção leiteira: Comodato (%)</t>
  </si>
  <si>
    <t>Média de 2.6. Distribuição da área utilizada na produção leiteira: Assentamento (%)</t>
  </si>
  <si>
    <t>Média de 2.6. Distribuição da área utilizada na produção leiteira: Como posseiro (%)</t>
  </si>
  <si>
    <t>Média de 2.7. Origem da área própria utilizada na atividade leiteira: Herança ou doação (%)</t>
  </si>
  <si>
    <t>Média de 2.7. Origem da área própria utilizada na atividade leiteira: Compra (%)</t>
  </si>
  <si>
    <t>Média de 2.7. Origem da área própria utilizada na atividade leiteira: Posse ou usucapião (%)</t>
  </si>
  <si>
    <t>Média de 2.7. Origem da área própria utilizada na atividade leiteira: Titulação ou licença de ocupação (%)</t>
  </si>
  <si>
    <t>Média de 2.7. Origem da área própria utilizada na atividade leiteira: Outro (%)</t>
  </si>
  <si>
    <t>Contagem de 2.8. Faz parte de alguma associação ou cooperativa relacionada à produção de leite?</t>
  </si>
  <si>
    <t>Média de 2.9. Composição da renda bruta do produtor rural: Pecuária de leite (%)</t>
  </si>
  <si>
    <t>Média de 2.9. Composição da renda bruta do produtor rural: Outras criações (%)</t>
  </si>
  <si>
    <t>Média de 2.9. Composição da renda bruta do produtor rural: Culturas permanentes (%)</t>
  </si>
  <si>
    <t>Média de 2.9. Composição da renda bruta do produtor rural: Culturas anuais (%)</t>
  </si>
  <si>
    <t>Média de 2.9. Composição da renda bruta do produtor rural: Fora da propriedade (%)</t>
  </si>
  <si>
    <t>Média de 2.10. Composição da renda bruta da atividade leiteira: Venda e consumo de leite (%)</t>
  </si>
  <si>
    <t>Média de 2.10. Composição da renda bruta da atividade leiteira: Venda e consumo de animais (%)</t>
  </si>
  <si>
    <t>Média de 2.10. Composição da renda bruta da atividade leiteira: Outro (%)</t>
  </si>
  <si>
    <t>Contagem de 3.1. Atualmente, seu retorno financeiro na produção de leite pode ser considerado:</t>
  </si>
  <si>
    <t>Contagem de 3.2. Sua atividade leiteira se mantém sem recursos externos?</t>
  </si>
  <si>
    <t>Contagem de 3.7. Para os próximos 5 anos, o que pretende fazer com a produção de leite?</t>
  </si>
  <si>
    <t>Contagem de 3.8. Opinião do produtor sobre a sucessão em sua propriedade:</t>
  </si>
  <si>
    <t>Média de 5.2. Produção de leite média dos últimos 12 meses (consumido + vendido) (litros/dia)</t>
  </si>
  <si>
    <t>Média de 5.2.1. Produção nas águas (litros/dia)</t>
  </si>
  <si>
    <t>Média de 5.2.2. Produção na seca (litros/dia)</t>
  </si>
  <si>
    <t>Média de 5.3. Produtividade média / vaca em lactação (litros/vaca/dia)</t>
  </si>
  <si>
    <t>Média de 5.3.1. Produtividade nas águas (litros/vaca/dia)</t>
  </si>
  <si>
    <t>Média de 5.3.2 Produtividade na seca (litros/vaca/dia)</t>
  </si>
  <si>
    <t>Média de 5.4. Distribuição da produção de leite nos últimos 12 meses: Vendida para laticínio/cooperativa (leite fluído) (%)</t>
  </si>
  <si>
    <t>Média de 5.4. Distribuição da produção de leite nos últimos 12 meses: Vendida diretamente para consumidor (leite fluído) (%)</t>
  </si>
  <si>
    <t>Média de 5.4. Distribuição da produção de leite nos últimos 12 meses: Vendida na forma de derivados (queijos, requeijão, etc.) (%)</t>
  </si>
  <si>
    <t>Média de 5.4. Distribuição da produção de leite nos últimos 12 meses: Autoconsumo humano (%)</t>
  </si>
  <si>
    <t>Média de 5.4. Distribuição da produção de leite nos últimos 12 meses: Aleitamento (%)</t>
  </si>
  <si>
    <t>Média de 5.5. Área própria total da propriedade (hectares)</t>
  </si>
  <si>
    <t>Média de 5.6. Área destinada ao gado de leite (hectares)</t>
  </si>
  <si>
    <t>Contagem de 5.7.1. Possui cônjuge ou companheiro(a)?</t>
  </si>
  <si>
    <t>Contagem de Tem filhos</t>
  </si>
  <si>
    <t>Contagem de Tem filhos que trabalham na propriedade rural</t>
  </si>
  <si>
    <t>Média de TOTAL FAMILIAR (TRABALHADOR/DIA)</t>
  </si>
  <si>
    <t>Média de TOTAL CONTRATADA (TRABALHADOR/DIA)</t>
  </si>
  <si>
    <t>Média de MDO TOTAL (TRABALHADOR/DIA)</t>
  </si>
  <si>
    <t>Média de 5.11.1. Número atual de cabeças no rebanho: Vaca em lactação</t>
  </si>
  <si>
    <t>Média de 5.11.1. Número atual de cabeças no rebanho: Vaca seca</t>
  </si>
  <si>
    <t>Média de 5.11.1. Número atual de cabeças no rebanho: Bezerra em aleitamento</t>
  </si>
  <si>
    <t>Média de 5.11.1. Número atual de cabeças no rebanho: Bezerro em aleitamento</t>
  </si>
  <si>
    <t>Média de 5.11.1. Número atual de cabeças no rebanho: Novilha em recria</t>
  </si>
  <si>
    <t>Média de 5.11.1. Número atual de cabeças no rebanho: Novilha em reprodução</t>
  </si>
  <si>
    <t>Média de 5.11.1. Número atual de cabeças no rebanho: Garrote</t>
  </si>
  <si>
    <t>Média de 5.11.1. Número atual de cabeças no rebanho: Touro</t>
  </si>
  <si>
    <t>Média de 5.11.1. Número atual de cabeças no rebanho: Animal de serviço</t>
  </si>
  <si>
    <t>Média de 5.11.2.a. Composição % do rebanho - Reprodutores (touro/sêmen): Menos de 1/2 HZ (azebuado) (%)</t>
  </si>
  <si>
    <t>Média de 5.11.2.a. Composição % do rebanho - Reprodutores (touro/sêmen): De 1/2 a 3/4 HZ (%)</t>
  </si>
  <si>
    <t>Média de 5.11.2.a. Composição % do rebanho - Reprodutores (touro/sêmen): De 3/4 a 7/8 HZ (%)</t>
  </si>
  <si>
    <t>Média de 5.11.2.a. Composição % do rebanho - Reprodutores (touro/sêmen): De 7/8 HZ a puro holandês (%)</t>
  </si>
  <si>
    <t>Média de 5.11.2.a. Composição % do rebanho - Reprodutores (touro/sêmen): Puro holandês (%)</t>
  </si>
  <si>
    <t>Média de 5.11.2.a. Composição % do rebanho - Reprodutores (touro/sêmen): Puro outras raças europeias (%)</t>
  </si>
  <si>
    <t>Média de 5.11.2.a. Composição % do rebanho - Reprodutores (touro/sêmen): Puro raças zebuínas (%)</t>
  </si>
  <si>
    <t>Média de 5.11.2.a. Composição % do rebanho - Reprodutores (touro/sêmen): Sem padrão definido (%)</t>
  </si>
  <si>
    <t>Média de 5.11.2.b. Composição % do rebanho - Vacas (lactação + secas): Menos de 1/2 HZ (azebuado) (%)</t>
  </si>
  <si>
    <t>Média de 5.11.2.b. Composição % do rebanho - Vacas (lactação + secas): De 1/2 a 3/4 HZ (%)</t>
  </si>
  <si>
    <t>Média de 5.11.2.b. Composição % do rebanho - Vacas (lactação + secas): De 3/4 a 7/8 HZ (%)</t>
  </si>
  <si>
    <t>Média de 5.11.2.b. Composição % do rebanho - Vacas (lactação + secas): De 7/8 HZ a puro holandês (%)</t>
  </si>
  <si>
    <t>Média de 5.11.2.b. Composição % do rebanho - Vacas (lactação + secas): Puro holandês (%)</t>
  </si>
  <si>
    <t>Média de 5.11.2.b. Composição % do rebanho - Vacas (lactação + secas): Puro outras raças europeias (%)</t>
  </si>
  <si>
    <t>Média de 5.11.2.b. Composição % do rebanho - Vacas (lactação + secas): Puro raças zebuínas (%)</t>
  </si>
  <si>
    <t>Média de 5.11.2.b. Composição % do rebanho - Vacas (lactação + secas): Sem padrão definido (%)</t>
  </si>
  <si>
    <t>Contagem de 6.1. Como é feito o resfriamento do leite na fazenda?</t>
  </si>
  <si>
    <t>Contagem de 6.6. Estrutura do local de ordenha:</t>
  </si>
  <si>
    <t>Contagem de 6.15. Tipo de pastagem na propriedade rural:</t>
  </si>
  <si>
    <t>Contagem de Brachiaria</t>
  </si>
  <si>
    <t>Contagem de Panicum</t>
  </si>
  <si>
    <t>Contagem de TIPOLOGIA DA PRODUÇÃO DE LEITE2</t>
  </si>
  <si>
    <t>Contagem de Capim-elefante</t>
  </si>
  <si>
    <t>Contagem de Cynodon</t>
  </si>
  <si>
    <t>Contagem de Tifton</t>
  </si>
  <si>
    <t>Contagem de 7.1. Quem faz a administração/direção da atividade leiteira?</t>
  </si>
  <si>
    <t>Contagem de 7.4. Realização de controle financeiro da produção:</t>
  </si>
  <si>
    <t>Contagem de 7.5. Sabe qual o custo médio da sua produção de leite?</t>
  </si>
  <si>
    <t>Média de 7.6. Se sim, qual o valor médio anual do seu custo de produção? (R$/litro)</t>
  </si>
  <si>
    <t>Média de 11.3. Preço recebido no último mês? (R$/litro)</t>
  </si>
  <si>
    <t>Média de 9.1. Distribuição % aproximada das vacas em lactação em cada tipo de sistema: Freestall (%)</t>
  </si>
  <si>
    <t>Média de 9.1. Distribuição % aproximada das vacas em lactação em cada tipo de sistema: Compost Barn (%)</t>
  </si>
  <si>
    <t>Média de 9.1. Distribuição % aproximada das vacas em lactação em cada tipo de sistema: Semiconfinado (%)</t>
  </si>
  <si>
    <t>Média de 9.1. Distribuição % aproximada das vacas em lactação em cada tipo de sistema: Piquete rotacionado (%)</t>
  </si>
  <si>
    <t>Média de 9.1. Distribuição % aproximada das vacas em lactação em cada tipo de sistema: Pasto extensivo (%)</t>
  </si>
  <si>
    <t>Contagem de 9.4. Possui internet na propriedade?</t>
  </si>
  <si>
    <t>Contagem de 9.8. Qual o destino de dejetos líquidos e sólidos? (Pode marcar mais de uma opção)</t>
  </si>
  <si>
    <t>Média de 10.1. Idade média que desfaz dos machos (meses)</t>
  </si>
  <si>
    <t>Média de 10.2. Idade média de desmama dos bezerros(as) (meses)</t>
  </si>
  <si>
    <t>Média de 10.3. Peso médio ao desmame dos bezerros(as) (Kg)</t>
  </si>
  <si>
    <t>Média de 10.4. Idade média das novilhas ao primeiro parto (meses)</t>
  </si>
  <si>
    <t>Média de 10.5. Intervalo entre partos médio (meses)</t>
  </si>
  <si>
    <t>Média de 10.6. Taxa de mortalidade média de bezerros (%)</t>
  </si>
  <si>
    <t>Média de 10.7. Taxa de mortalidade média de animais adultos (%)</t>
  </si>
  <si>
    <t>Contagem de 10.13. Critério para primeira cobertura:</t>
  </si>
  <si>
    <t>Contagem de 11.8. Qual sua opinião sobre o sistema de pagamento com bonificação? [Por volume de leite]</t>
  </si>
  <si>
    <t>Contagem de 11.8. Qual sua opinião sobre o sistema de pagamento com bonificação? [Por qualidade do leite]</t>
  </si>
  <si>
    <t>Contagem de 11.8. Qual sua opinião sobre o sistema de pagamento com bonificação? [Por critérios de sustentabilidade]</t>
  </si>
  <si>
    <t>Contagem de 11.9. Tem contrato formal com o laticínio que compra seu leite?</t>
  </si>
  <si>
    <t>Contagem de 11.10. Como avalia a importância de um contrato formal com o laticínio?</t>
  </si>
  <si>
    <t>Contagem de CAR - Cadastro Ambiental Rural</t>
  </si>
  <si>
    <t>Contagem de Cursos d’água/riacho/nascentes/mina</t>
  </si>
  <si>
    <t>Contagem de Vegetação nativa/mata/floresta</t>
  </si>
  <si>
    <t>Contagem de Área de preservação permanentes</t>
  </si>
  <si>
    <t>Contagem de Área de reserva legal</t>
  </si>
  <si>
    <t>Contagem de Serviço de água potável</t>
  </si>
  <si>
    <t>Contagem de Serviço de esgoto doméstico tratado</t>
  </si>
  <si>
    <t>Contagem de Serviço de telefonia</t>
  </si>
  <si>
    <t>Contagem de Bolsa família</t>
  </si>
  <si>
    <t>Contagem de Aposentadoria</t>
  </si>
  <si>
    <t>Contagem de PRONAF</t>
  </si>
  <si>
    <t>Contagem de PRONAMPE</t>
  </si>
  <si>
    <t>Contagem de Seguro Safra</t>
  </si>
  <si>
    <t>Contagem de Programa de Aquisição de Alimentos (PAA)</t>
  </si>
  <si>
    <t>Contagem de Programa de Garantia de Preços para a Agricultura Familiar (PGPAF)</t>
  </si>
  <si>
    <t>Contagem de Benefício de Prestação Continuada</t>
  </si>
  <si>
    <t>Contagem de Outro programa municipal/estadual</t>
  </si>
  <si>
    <t>Contagem de Não recebe benefício do governo</t>
  </si>
  <si>
    <t>Contagem de Por gostar</t>
  </si>
  <si>
    <t>Contagem de Por ser uma atividade lucrativa</t>
  </si>
  <si>
    <t>Contagem de Por proporcionar renda mensal</t>
  </si>
  <si>
    <t>Contagem de A atividade leiteira é uma tradição na família</t>
  </si>
  <si>
    <t>Contagem de Combina com outras explorações da propriedade</t>
  </si>
  <si>
    <t>Contagem de Tem mercado garantido</t>
  </si>
  <si>
    <t>Contagem de Não sabe fazer outra coisa</t>
  </si>
  <si>
    <t>Contagem de Não sabe</t>
  </si>
  <si>
    <t>Contagem de Falta de mão de obra</t>
  </si>
  <si>
    <t>Contagem de Deficiência na qualificação da mão de obra</t>
  </si>
  <si>
    <t>Contagem de Falta de crédito rural, com taxas de juros compatíveis com a atividade</t>
  </si>
  <si>
    <t>Contagem de Deficiência de informações técnicas sobre a produção de leite</t>
  </si>
  <si>
    <t>Contagem de Deficiência de informações de mercado</t>
  </si>
  <si>
    <t>Contagem de Custo dos insumos</t>
  </si>
  <si>
    <t>Contagem de Deficiência na infraestrutura de transporte/estradas</t>
  </si>
  <si>
    <t>Contagem de Instabilidade de políticas públicas</t>
  </si>
  <si>
    <t>Contagem de Legislação ambiental</t>
  </si>
  <si>
    <t>Contagem de Legislação trabalhista</t>
  </si>
  <si>
    <t>Contagem de Baixa capacidade de endividamento</t>
  </si>
  <si>
    <t>Contagem de Não sabe2</t>
  </si>
  <si>
    <t>Contagem de Mão de obra qualificada</t>
  </si>
  <si>
    <t>Contagem de Sanidade do rebanho</t>
  </si>
  <si>
    <t>Contagem de Qualidade genética dos animais</t>
  </si>
  <si>
    <t>Contagem de Alimentação do rebanho</t>
  </si>
  <si>
    <t>Contagem de Manejo do rebanho</t>
  </si>
  <si>
    <t>Contagem de Reprodução do rebanho</t>
  </si>
  <si>
    <t>Contagem de Preço do leite</t>
  </si>
  <si>
    <t>Contagem de Conhecimento de técnicas eficientes</t>
  </si>
  <si>
    <t>Contagem de Não sabe3</t>
  </si>
  <si>
    <t>Contagem de PRONAF2</t>
  </si>
  <si>
    <t>Contagem de PRONAMPE2</t>
  </si>
  <si>
    <t>Contagem de Cooperativas de crédito ou bancos privados</t>
  </si>
  <si>
    <t>Contagem de Plano Safra</t>
  </si>
  <si>
    <t>Contagem de Não utilizou crédito</t>
  </si>
  <si>
    <t>Contagem de Correção e adubação do solo na implantação</t>
  </si>
  <si>
    <t>Contagem de Rotação de pastagens</t>
  </si>
  <si>
    <t>Contagem de Divisão em piquetes</t>
  </si>
  <si>
    <t>Contagem de Cerca elétrica nos piquetes</t>
  </si>
  <si>
    <t>Tipologia da produção de leite</t>
  </si>
  <si>
    <t>Especificação</t>
  </si>
  <si>
    <t>Total</t>
  </si>
  <si>
    <t>Estratos de produção de leite</t>
  </si>
  <si>
    <t>CARACTERÍSTICAS GERAIS DA PROPRIEDADE RURAL</t>
  </si>
  <si>
    <t>DISTRIBUIÇÃO DA AMOSTRA</t>
  </si>
  <si>
    <t>Topografia/relevo predominante</t>
  </si>
  <si>
    <t>Sistema de produção</t>
  </si>
  <si>
    <t>Disponibilidade de recursos hídricos e serviços na propriedade rural</t>
  </si>
  <si>
    <t>PERFIL DO PRODUTOR RURAL</t>
  </si>
  <si>
    <t>Tempo que é produtor(a) de leite</t>
  </si>
  <si>
    <t>Idade</t>
  </si>
  <si>
    <t>Idade e tempo na produção de leite (anos) - valores médios</t>
  </si>
  <si>
    <t>Sexo</t>
  </si>
  <si>
    <t>Escolaridade</t>
  </si>
  <si>
    <t>Residência principal</t>
  </si>
  <si>
    <t>Distribuição da área utilizada na produção leiteira</t>
  </si>
  <si>
    <t>Própria</t>
  </si>
  <si>
    <t>Arrendada</t>
  </si>
  <si>
    <t>Parceria</t>
  </si>
  <si>
    <t>Comodato</t>
  </si>
  <si>
    <t>Assentamento</t>
  </si>
  <si>
    <t>Como posseiro</t>
  </si>
  <si>
    <t>Outra</t>
  </si>
  <si>
    <t>Origem da área própria utilizada na atividade leiteira</t>
  </si>
  <si>
    <t>Herança ou doação</t>
  </si>
  <si>
    <t>Compra</t>
  </si>
  <si>
    <t>Posse ou usucapião</t>
  </si>
  <si>
    <t>Titulação ou licença de ocupação</t>
  </si>
  <si>
    <t>Outro</t>
  </si>
  <si>
    <t>Composição da renda bruta do produtor rural</t>
  </si>
  <si>
    <t>Pecuária de leite</t>
  </si>
  <si>
    <t>Outras criações</t>
  </si>
  <si>
    <t>Culturas permanentes</t>
  </si>
  <si>
    <t>Culturas anuais</t>
  </si>
  <si>
    <t>Fora da propriedade</t>
  </si>
  <si>
    <t>Composição da renda bruta da atividade leiteira</t>
  </si>
  <si>
    <t>Venda e consumo de leite</t>
  </si>
  <si>
    <t>Venda e consumo de animais</t>
  </si>
  <si>
    <t>PGPAF</t>
  </si>
  <si>
    <t>PAA</t>
  </si>
  <si>
    <t>VISÃO DO PRODUTOR RURAL SOBRE SUA PRODUÇÃO DE LEITE</t>
  </si>
  <si>
    <t>Retorno financeiro na produção de leite</t>
  </si>
  <si>
    <t>Contagem de Emprega a família</t>
  </si>
  <si>
    <t>Razões por estar na atividade leiteira</t>
  </si>
  <si>
    <t>Deficiência de informações técnicas</t>
  </si>
  <si>
    <t>Deficiência na infraestrutura de transporte</t>
  </si>
  <si>
    <t>Falta de crédito rural, com juros compatíveis</t>
  </si>
  <si>
    <t>O que pretende fazer com a produção de leite nos próximos 5 anos</t>
  </si>
  <si>
    <t>Opinião sobre a sucessão em sua propriedade</t>
  </si>
  <si>
    <t>CRÉDITO RURAL</t>
  </si>
  <si>
    <t>Utilizou crédito rural nos últimos 12 meses</t>
  </si>
  <si>
    <t>Contagem de 4.1. Utilizou crédito rural nos últimos 12 meses?</t>
  </si>
  <si>
    <t>Crédito rural utilizado</t>
  </si>
  <si>
    <t>PRODUÇÃO DE LEITE E RECURSOS UTILIZADOS</t>
  </si>
  <si>
    <t xml:space="preserve">Área </t>
  </si>
  <si>
    <t>Área própria total da propriedade (hectares)</t>
  </si>
  <si>
    <t>Área destinada ao gado de leite (hectares)</t>
  </si>
  <si>
    <t>Mão de obra utilizada na produção de leite</t>
  </si>
  <si>
    <t>MDO familiar (trabalhador/dia)</t>
  </si>
  <si>
    <t>MDO contratada (trabalhador/dia)</t>
  </si>
  <si>
    <t>Vaca em lactação</t>
  </si>
  <si>
    <t>Vaca seca</t>
  </si>
  <si>
    <t>Bezerra em aleitamento</t>
  </si>
  <si>
    <t>Bezerro em aleitamento</t>
  </si>
  <si>
    <t>Novilha em recria</t>
  </si>
  <si>
    <t>Novilha em reprodução</t>
  </si>
  <si>
    <t>Garrote</t>
  </si>
  <si>
    <t>Touro</t>
  </si>
  <si>
    <t>Animal de serviço</t>
  </si>
  <si>
    <t>Rebanho bovino atual (cabeças)</t>
  </si>
  <si>
    <t>Produtividades</t>
  </si>
  <si>
    <t>Vacas em lactação (litro/vaca/dia)</t>
  </si>
  <si>
    <t>Área destinada ao gado (litro/hectare/ano)</t>
  </si>
  <si>
    <t>Mão de obra total (litro/trabalhador/dia)</t>
  </si>
  <si>
    <t>Média anual (litros/dia)</t>
  </si>
  <si>
    <t>Média nas águas (litros/dia)</t>
  </si>
  <si>
    <t>Média na seca (litros/dia)</t>
  </si>
  <si>
    <t>ADOÇÃO DE TECNOLOGIA</t>
  </si>
  <si>
    <t>Contagem de 6.5. Tem cobertura no curral?</t>
  </si>
  <si>
    <t>Contagem de 6.4. Tem fonte de água no curral?</t>
  </si>
  <si>
    <t>Contagem de 6.7. Tem fonte de água no local de ordenha?</t>
  </si>
  <si>
    <t>Contagem de 6.8. A Sala de ordenha é coberta?</t>
  </si>
  <si>
    <t>Resfriamento do leite</t>
  </si>
  <si>
    <t>Disponibilidade de água e cobertura das estruturas</t>
  </si>
  <si>
    <t>Fonte de água no curral</t>
  </si>
  <si>
    <t>Fonte de água no local de ordenha</t>
  </si>
  <si>
    <t>Cobertura no curral</t>
  </si>
  <si>
    <t>Cobertura na sala de ordenha</t>
  </si>
  <si>
    <t>Contagem de 6.9. Tipo de ordenha:</t>
  </si>
  <si>
    <t>Média de 6.10. Número de ordenhas na seca</t>
  </si>
  <si>
    <t>Média de 6.10. Número de ordenhas nas águas</t>
  </si>
  <si>
    <t>Tipo e número de ordenhas</t>
  </si>
  <si>
    <t>Número de ordenhas nas águas</t>
  </si>
  <si>
    <t>Número de ordenhas na seca</t>
  </si>
  <si>
    <t>Tipo de pastagem na propriedade</t>
  </si>
  <si>
    <t>Tipo de capim plantado</t>
  </si>
  <si>
    <t>GESTÃO DA ATIVIDADE LEITEIRA</t>
  </si>
  <si>
    <t>Responsável pela administração da atividade leiteira</t>
  </si>
  <si>
    <t>Contagem de Produção de leite</t>
  </si>
  <si>
    <t>Contagem de Produtividade</t>
  </si>
  <si>
    <t>Contagem de Receitas</t>
  </si>
  <si>
    <t>Contagem de Despesas</t>
  </si>
  <si>
    <t>Contagem de Venda de genética</t>
  </si>
  <si>
    <t>Contagem de Venda de animais</t>
  </si>
  <si>
    <t>Contagem de Não estabelece metas</t>
  </si>
  <si>
    <t>Metas anuais são estabelecidas para a atividade leiteira</t>
  </si>
  <si>
    <t>Controle financeiro da produção</t>
  </si>
  <si>
    <t>Conhece o custo médio da sua produção (%)</t>
  </si>
  <si>
    <t>Custo médio (R$/litro)</t>
  </si>
  <si>
    <t>Preço recebido no último mês (R$/litro)</t>
  </si>
  <si>
    <t>Custo médio e preço recebido</t>
  </si>
  <si>
    <t>INFORMAÇÃO E ASSISTÊNCIA TÉCNICA</t>
  </si>
  <si>
    <t>Principais fontes de informações sobre gado de leite</t>
  </si>
  <si>
    <t>Contagem de Assistência técnica</t>
  </si>
  <si>
    <t>Contagem de Vizinho, amigo ou parente</t>
  </si>
  <si>
    <t>Contagem de Treinamento (curso, palestra, etc.)</t>
  </si>
  <si>
    <t>Contagem de Jornais e revistas agropecuários</t>
  </si>
  <si>
    <t>Contagem de Programas de TV</t>
  </si>
  <si>
    <t>Contagem de Outras mídias sociais</t>
  </si>
  <si>
    <t>Contagem de Planejamento da empresa rural</t>
  </si>
  <si>
    <t>Contagem de Cálculo do custo de produção</t>
  </si>
  <si>
    <t>Contagem de Mercado do leite</t>
  </si>
  <si>
    <t>Contagem de Alimentação do rebanho2</t>
  </si>
  <si>
    <t>Contagem de Sanidade do rebanho2</t>
  </si>
  <si>
    <t>Contagem de Manejo do rebanho2</t>
  </si>
  <si>
    <t>Contagem de Melhoramento genético</t>
  </si>
  <si>
    <t>Contagem de Gerenciamento da produção</t>
  </si>
  <si>
    <t>Contagem de Produção de leite e meio ambiente</t>
  </si>
  <si>
    <t>Contagem de Qualidade do leite</t>
  </si>
  <si>
    <t>Informações mais recebidas pela assistência técnica</t>
  </si>
  <si>
    <t>Informações que tem mais carência</t>
  </si>
  <si>
    <t>Contagem de Planejamento da empresa rural2</t>
  </si>
  <si>
    <t>Contagem de Cálculo do custo de produção2</t>
  </si>
  <si>
    <t>Contagem de Mercado do leite2</t>
  </si>
  <si>
    <t>Contagem de Alimentação do rebanho3</t>
  </si>
  <si>
    <t>Contagem de Sanidade do rebanho3</t>
  </si>
  <si>
    <t>Contagem de Manejo do rebanho3</t>
  </si>
  <si>
    <t>Contagem de Melhoramento genético2</t>
  </si>
  <si>
    <t>Contagem de Gerenciamento da produção2</t>
  </si>
  <si>
    <t>Contagem de Produção de leite e meio ambiente2</t>
  </si>
  <si>
    <t>Contagem de Qualidade do leite2</t>
  </si>
  <si>
    <t>Recebida</t>
  </si>
  <si>
    <t>Carência</t>
  </si>
  <si>
    <t>Informações recebidas e de maior carência pelos produtores familiares</t>
  </si>
  <si>
    <t>Distribuição das vacas em lactação em cada tipo de sistema</t>
  </si>
  <si>
    <t>Freestall</t>
  </si>
  <si>
    <t>Compost Barn</t>
  </si>
  <si>
    <t>Semiconfinado</t>
  </si>
  <si>
    <t>Piquete rotacionado</t>
  </si>
  <si>
    <t>Pasto extensivo</t>
  </si>
  <si>
    <t>Contagem de Galpão coberto</t>
  </si>
  <si>
    <t>Contagem de Sombrite ou tela de sombreamento</t>
  </si>
  <si>
    <t>Contagem de Cobertura vegetal (árvores, sombra natural)</t>
  </si>
  <si>
    <t>Contagem de Exaustores</t>
  </si>
  <si>
    <t>Contagem de Ventiladores mecânicos</t>
  </si>
  <si>
    <t xml:space="preserve">Contagem de Aspersores ou nebulizadores </t>
  </si>
  <si>
    <t>Contagem de Sistema de resfriamento evaporativo</t>
  </si>
  <si>
    <t>Contagem de Bebedouros</t>
  </si>
  <si>
    <t>Contagem de Controle automatizado de temperatura/umidade</t>
  </si>
  <si>
    <t>Contagem de Piso emborrachado ou drenante nas áreas de espera</t>
  </si>
  <si>
    <t>Técnicas utilizadas para conforto dos animais</t>
  </si>
  <si>
    <t>Piso emborrachado ou drenante</t>
  </si>
  <si>
    <t>Contagem de 9.3. Possui energia elétrica na propriedade?</t>
  </si>
  <si>
    <t>Internet na propriedade</t>
  </si>
  <si>
    <t>Contagem de Picadeira</t>
  </si>
  <si>
    <t>Contagem de Balança para os animais</t>
  </si>
  <si>
    <t>Contagem de Trator</t>
  </si>
  <si>
    <t>Contagem de Vagão forrageiro</t>
  </si>
  <si>
    <t>Contagem de Plantadeira</t>
  </si>
  <si>
    <t>Contagem de Grade</t>
  </si>
  <si>
    <t>Contagem de Arado</t>
  </si>
  <si>
    <t>Contagem de Ensiladeira</t>
  </si>
  <si>
    <t>Contagem de Distribuidor de calcário</t>
  </si>
  <si>
    <t>Contagem de Misturador de ração</t>
  </si>
  <si>
    <t>Equipamentos próprios utilizados na produção de leite</t>
  </si>
  <si>
    <t>Destino de dejetos líquidos e sólidos</t>
  </si>
  <si>
    <t>Indicadores zootécnicos do rebanho (valores médios)</t>
  </si>
  <si>
    <t>Idade que desfaz dos machos (meses)</t>
  </si>
  <si>
    <t>Idade de desmama dos bezerros(as) (meses)</t>
  </si>
  <si>
    <t>Peso ao desmame dos bezerros(as) (Kg)</t>
  </si>
  <si>
    <t>Idade das novilhas ao primeiro parto (meses)</t>
  </si>
  <si>
    <t>Intervalo entre partos (meses)</t>
  </si>
  <si>
    <t>Taxa de mortalidadede bezerros (%)</t>
  </si>
  <si>
    <t>Taxa de mortalidade de animais adultos (%)</t>
  </si>
  <si>
    <t>SISTEMA DE PRODUÇÃO</t>
  </si>
  <si>
    <t>Contagem de Manqueira</t>
  </si>
  <si>
    <t>Contagem de Brucelose</t>
  </si>
  <si>
    <t>Contagem de Paratifo</t>
  </si>
  <si>
    <t>Contagem de Raiva</t>
  </si>
  <si>
    <t>Contagem de Enterotoxemia</t>
  </si>
  <si>
    <t>Contagem de Botulismo</t>
  </si>
  <si>
    <t>Contagem de Vermifugação</t>
  </si>
  <si>
    <t>Contagem de Carrapaticida</t>
  </si>
  <si>
    <t>Contagem de IBR/BVD</t>
  </si>
  <si>
    <t>Contagem de Leptospirose</t>
  </si>
  <si>
    <t>Critérios sanitários contra enfermidades utilizados</t>
  </si>
  <si>
    <t>Contagem de Teste da caneca</t>
  </si>
  <si>
    <t>Contagem de Pré-dipping</t>
  </si>
  <si>
    <t>Contagem de Pós-dipping</t>
  </si>
  <si>
    <t>Contagem de Linha de ordenha</t>
  </si>
  <si>
    <t>Contagem de Alimentação durante a ordenha</t>
  </si>
  <si>
    <t>Contagem de Alimentação após a ordenha</t>
  </si>
  <si>
    <t>Contagem de Identificação de animais tratados com antibiótico</t>
  </si>
  <si>
    <t>Técnicas utilizadas no manejo de ordenha</t>
  </si>
  <si>
    <t>Contagem de FIV/TE</t>
  </si>
  <si>
    <t>Contagem de Inseminação artificial/IATF</t>
  </si>
  <si>
    <t>Contagem de Natural controlada</t>
  </si>
  <si>
    <t>Contagem de Natural não controlada</t>
  </si>
  <si>
    <t>Sistema de reprodução utilizados</t>
  </si>
  <si>
    <t>Tipo de aleitamento</t>
  </si>
  <si>
    <t>Contagem de 10.12. Tipo de aleitamento:</t>
  </si>
  <si>
    <t>10.13.	Critério para primeira cobertura</t>
  </si>
  <si>
    <t>Contagem de Cana-de-açúcar</t>
  </si>
  <si>
    <t>Contagem de Capineira</t>
  </si>
  <si>
    <t>Contagem de Silagem de capim</t>
  </si>
  <si>
    <t>Contagem de Silagem de milho</t>
  </si>
  <si>
    <t>Contagem de Silagem de sorgo</t>
  </si>
  <si>
    <t>Contagem de Outra silagem</t>
  </si>
  <si>
    <t xml:space="preserve">Contagem de Feno </t>
  </si>
  <si>
    <t>Contagem de Palma</t>
  </si>
  <si>
    <t>Contagem de Não fornece suplementação</t>
  </si>
  <si>
    <t>Suplementação volumosa utilizada</t>
  </si>
  <si>
    <t>RELAÇÃO DO PRODUTOR COM O MERCADO</t>
  </si>
  <si>
    <t>Possui contrato formal com o laticínio</t>
  </si>
  <si>
    <t>Importância de um contrato formal com o laticínio</t>
  </si>
  <si>
    <t>Contagem de Município</t>
  </si>
  <si>
    <t>Localização da propriedade rural (município)</t>
  </si>
  <si>
    <t>TOTAL</t>
  </si>
  <si>
    <t>DUFERENÇA</t>
  </si>
  <si>
    <t>Valor</t>
  </si>
  <si>
    <t>Principais problemas que influenciam a produção (exceto o preço)</t>
  </si>
  <si>
    <t>Utiliza ordenha mecânica</t>
  </si>
  <si>
    <t>Opinião sobre o pagamento com bonificação por volume de leite</t>
  </si>
  <si>
    <t>Opinião sobre o pagamento com bonificação por critérios de sustentabilidade</t>
  </si>
  <si>
    <t>Opinião sobre o pagamento com bonificação por qualidade do leite</t>
  </si>
  <si>
    <t>Pontos mais importantes para uma produção de leite rentável</t>
  </si>
  <si>
    <t>Práticas utilizadas nas pastagens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</si>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</sst>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42A841"/>
        <bgColor indexed="64"/>
      </patternFill>
    </fill>
  </fills>
  <borders count="14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2" borderId="0" xfId="0" applyFill="1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6" borderId="4" xfId="0" applyFont="1" applyFill="1" applyBorder="1"/>
    <xf numFmtId="1" fontId="0" fillId="0" borderId="0" xfId="0" applyNumberFormat="1"/>
    <xf numFmtId="10" fontId="0" fillId="0" borderId="0" xfId="1" applyNumberFormat="1" applyFont="1"/>
    <xf numFmtId="0" fontId="0" fillId="8" borderId="0" xfId="0" applyFill="1"/>
    <xf numFmtId="0" fontId="3" fillId="9" borderId="4" xfId="0" applyFont="1" applyFill="1" applyBorder="1"/>
    <xf numFmtId="1" fontId="0" fillId="2" borderId="0" xfId="0" applyNumberFormat="1" applyFill="1"/>
    <xf numFmtId="10" fontId="0" fillId="2" borderId="0" xfId="1" applyNumberFormat="1" applyFont="1" applyFill="1"/>
    <xf numFmtId="0" fontId="3" fillId="10" borderId="4" xfId="0" applyFont="1" applyFill="1" applyBorder="1"/>
    <xf numFmtId="0" fontId="4" fillId="0" borderId="0" xfId="0" applyFont="1" applyProtection="1">
      <protection locked="0" hidden="1"/>
    </xf>
    <xf numFmtId="0" fontId="4" fillId="0" borderId="0" xfId="0" applyFont="1" applyAlignment="1" applyProtection="1">
      <alignment horizontal="center"/>
      <protection locked="0" hidden="1"/>
    </xf>
    <xf numFmtId="0" fontId="4" fillId="0" borderId="0" xfId="0" applyFont="1" applyAlignment="1" applyProtection="1">
      <alignment horizontal="right"/>
      <protection locked="0" hidden="1"/>
    </xf>
    <xf numFmtId="0" fontId="5" fillId="7" borderId="10" xfId="0" applyFont="1" applyFill="1" applyBorder="1" applyAlignment="1" applyProtection="1">
      <alignment horizontal="center"/>
      <protection locked="0" hidden="1"/>
    </xf>
    <xf numFmtId="0" fontId="5" fillId="0" borderId="0" xfId="0" applyFont="1" applyProtection="1">
      <protection locked="0" hidden="1"/>
    </xf>
    <xf numFmtId="0" fontId="5" fillId="7" borderId="7" xfId="0" applyFont="1" applyFill="1" applyBorder="1" applyProtection="1">
      <protection locked="0" hidden="1"/>
    </xf>
    <xf numFmtId="10" fontId="4" fillId="0" borderId="5" xfId="1" applyNumberFormat="1" applyFont="1" applyBorder="1" applyAlignment="1" applyProtection="1">
      <alignment horizontal="left"/>
      <protection locked="0" hidden="1"/>
    </xf>
    <xf numFmtId="10" fontId="4" fillId="0" borderId="11" xfId="1" applyNumberFormat="1" applyFont="1" applyBorder="1" applyAlignment="1" applyProtection="1">
      <alignment horizontal="center"/>
      <protection locked="0" hidden="1"/>
    </xf>
    <xf numFmtId="0" fontId="5" fillId="0" borderId="7" xfId="0" applyFont="1" applyBorder="1" applyProtection="1">
      <protection locked="0" hidden="1"/>
    </xf>
    <xf numFmtId="10" fontId="5" fillId="0" borderId="10" xfId="1" applyNumberFormat="1" applyFont="1" applyBorder="1" applyAlignment="1" applyProtection="1">
      <alignment horizontal="center"/>
      <protection locked="0" hidden="1"/>
    </xf>
    <xf numFmtId="0" fontId="4" fillId="0" borderId="5" xfId="0" applyFont="1" applyBorder="1" applyProtection="1">
      <protection locked="0" hidden="1"/>
    </xf>
    <xf numFmtId="0" fontId="4" fillId="0" borderId="6" xfId="0" applyFont="1" applyBorder="1" applyProtection="1">
      <protection locked="0" hidden="1"/>
    </xf>
    <xf numFmtId="10" fontId="4" fillId="0" borderId="12" xfId="1" applyNumberFormat="1" applyFont="1" applyBorder="1" applyAlignment="1" applyProtection="1">
      <alignment horizontal="center"/>
      <protection locked="0" hidden="1"/>
    </xf>
    <xf numFmtId="2" fontId="4" fillId="0" borderId="11" xfId="1" applyNumberFormat="1" applyFont="1" applyBorder="1" applyAlignment="1" applyProtection="1">
      <alignment horizontal="center"/>
      <protection locked="0" hidden="1"/>
    </xf>
    <xf numFmtId="2" fontId="4" fillId="0" borderId="12" xfId="1" applyNumberFormat="1" applyFont="1" applyBorder="1" applyAlignment="1" applyProtection="1">
      <alignment horizontal="center"/>
      <protection locked="0" hidden="1"/>
    </xf>
    <xf numFmtId="4" fontId="4" fillId="0" borderId="11" xfId="1" applyNumberFormat="1" applyFont="1" applyBorder="1" applyAlignment="1" applyProtection="1">
      <alignment horizontal="center"/>
      <protection locked="0" hidden="1"/>
    </xf>
    <xf numFmtId="4" fontId="4" fillId="0" borderId="12" xfId="1" applyNumberFormat="1" applyFont="1" applyBorder="1" applyAlignment="1" applyProtection="1">
      <alignment horizontal="center"/>
      <protection locked="0" hidden="1"/>
    </xf>
    <xf numFmtId="2" fontId="5" fillId="0" borderId="10" xfId="1" applyNumberFormat="1" applyFont="1" applyBorder="1" applyAlignment="1" applyProtection="1">
      <alignment horizontal="center"/>
      <protection locked="0" hidden="1"/>
    </xf>
    <xf numFmtId="10" fontId="4" fillId="0" borderId="5" xfId="1" applyNumberFormat="1" applyFont="1" applyBorder="1" applyAlignment="1" applyProtection="1">
      <alignment horizontal="left" vertical="center" wrapText="1"/>
      <protection locked="0" hidden="1"/>
    </xf>
    <xf numFmtId="10" fontId="4" fillId="0" borderId="11" xfId="1" applyNumberFormat="1" applyFont="1" applyBorder="1" applyAlignment="1" applyProtection="1">
      <alignment horizontal="center" vertical="center"/>
      <protection locked="0" hidden="1"/>
    </xf>
    <xf numFmtId="0" fontId="5" fillId="7" borderId="8" xfId="0" applyFont="1" applyFill="1" applyBorder="1" applyAlignment="1" applyProtection="1">
      <alignment horizontal="center"/>
      <protection locked="0" hidden="1"/>
    </xf>
    <xf numFmtId="10" fontId="4" fillId="0" borderId="9" xfId="1" applyNumberFormat="1" applyFont="1" applyBorder="1" applyAlignment="1" applyProtection="1">
      <alignment horizontal="left"/>
      <protection locked="0" hidden="1"/>
    </xf>
    <xf numFmtId="10" fontId="4" fillId="0" borderId="13" xfId="1" applyNumberFormat="1" applyFont="1" applyBorder="1" applyAlignment="1" applyProtection="1">
      <alignment horizontal="center"/>
      <protection locked="0" hidden="1"/>
    </xf>
    <xf numFmtId="0" fontId="4" fillId="11" borderId="0" xfId="0" applyFont="1" applyFill="1" applyProtection="1">
      <protection locked="0" hidden="1"/>
    </xf>
    <xf numFmtId="0" fontId="4" fillId="11" borderId="0" xfId="0" applyFont="1" applyFill="1" applyAlignment="1" applyProtection="1">
      <alignment horizontal="center"/>
      <protection locked="0" hidden="1"/>
    </xf>
    <xf numFmtId="0" fontId="4" fillId="11" borderId="0" xfId="0" applyFont="1" applyFill="1" applyAlignment="1" applyProtection="1">
      <alignment horizontal="right"/>
      <protection locked="0" hidden="1"/>
    </xf>
    <xf numFmtId="0" fontId="5" fillId="7" borderId="7" xfId="0" applyFont="1" applyFill="1" applyBorder="1" applyAlignment="1" applyProtection="1">
      <alignment horizontal="center"/>
      <protection locked="0" hidden="1"/>
    </xf>
    <xf numFmtId="0" fontId="5" fillId="7" borderId="10" xfId="0" applyFont="1" applyFill="1" applyBorder="1" applyAlignment="1" applyProtection="1">
      <alignment horizontal="center"/>
      <protection locked="0" hidden="1"/>
    </xf>
  </cellXfs>
  <cellStyles count="2">
    <cellStyle name="Normal" xfId="0" builtinId="0"/>
    <cellStyle name="Porcentagem" xfId="1" builtinId="5"/>
  </cellStyles>
  <dxfs count="832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" formatCode="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</dxfs>
  <tableStyles count="0" defaultTableStyle="TableStyleMedium2" defaultPivotStyle="PivotStyleLight16"/>
  <colors>
    <mruColors>
      <color rgb="FF42A8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TABELAS!$D$72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TABELAS!$C$73:$C$80</c:f>
              <c:strCache>
                <c:ptCount val="8"/>
                <c:pt idx="0">
                  <c:v>CAR - Cadastro Ambiental Rural</c:v>
                </c:pt>
                <c:pt idx="1">
                  <c:v>Cursos d’água/riacho/nascentes/mina</c:v>
                </c:pt>
                <c:pt idx="2">
                  <c:v>Vegetação nativa/mata/floresta</c:v>
                </c:pt>
                <c:pt idx="3">
                  <c:v>Área de preservação permanentes</c:v>
                </c:pt>
                <c:pt idx="4">
                  <c:v>Área de reserva legal</c:v>
                </c:pt>
                <c:pt idx="5">
                  <c:v>Serviço de água potável</c:v>
                </c:pt>
                <c:pt idx="6">
                  <c:v>Serviço de esgoto doméstico tratado</c:v>
                </c:pt>
                <c:pt idx="7">
                  <c:v>Serviço de telefonia</c:v>
                </c:pt>
              </c:strCache>
            </c:strRef>
          </c:cat>
          <c:val>
            <c:numRef>
              <c:f>TABELAS!$D$73:$D$80</c:f>
              <c:numCache>
                <c:formatCode>0.00%</c:formatCode>
                <c:ptCount val="8"/>
                <c:pt idx="0">
                  <c:v>0.9</c:v>
                </c:pt>
                <c:pt idx="1">
                  <c:v>0.8666666666666667</c:v>
                </c:pt>
                <c:pt idx="2">
                  <c:v>0.83333333333333337</c:v>
                </c:pt>
                <c:pt idx="3">
                  <c:v>0.8666666666666667</c:v>
                </c:pt>
                <c:pt idx="4">
                  <c:v>0.76666666666666672</c:v>
                </c:pt>
                <c:pt idx="5">
                  <c:v>0.43333333333333335</c:v>
                </c:pt>
                <c:pt idx="6">
                  <c:v>0.13333333333333333</c:v>
                </c:pt>
                <c:pt idx="7">
                  <c:v>0.56666666666666665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8-40F1-BF28-4C0398B4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756400"/>
        <c:axId val="1844743024"/>
      </c:radarChart>
      <c:catAx>
        <c:axId val="19337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TABELAS!$D$219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TABELAS!$C$220:$C$227</c:f>
              <c:strCache>
                <c:ptCount val="8"/>
                <c:pt idx="0">
                  <c:v>Por gostar</c:v>
                </c:pt>
                <c:pt idx="1">
                  <c:v>Por ser uma atividade lucrativa</c:v>
                </c:pt>
                <c:pt idx="2">
                  <c:v>Por proporcionar renda mensal</c:v>
                </c:pt>
                <c:pt idx="3">
                  <c:v>A atividade leiteira é uma tradição na família</c:v>
                </c:pt>
                <c:pt idx="4">
                  <c:v>Combina com outras explorações da propriedade</c:v>
                </c:pt>
                <c:pt idx="5">
                  <c:v>Tem mercado garantido</c:v>
                </c:pt>
                <c:pt idx="6">
                  <c:v>Não sabe fazer outra coisa</c:v>
                </c:pt>
                <c:pt idx="7">
                  <c:v>Emprega a família</c:v>
                </c:pt>
              </c:strCache>
            </c:strRef>
          </c:cat>
          <c:val>
            <c:numRef>
              <c:f>TABELAS!$D$220:$D$227</c:f>
              <c:numCache>
                <c:formatCode>0.00%</c:formatCode>
                <c:ptCount val="8"/>
                <c:pt idx="0">
                  <c:v>0.66666666666666663</c:v>
                </c:pt>
                <c:pt idx="1">
                  <c:v>0.43333333333333335</c:v>
                </c:pt>
                <c:pt idx="2">
                  <c:v>0.46666666666666667</c:v>
                </c:pt>
                <c:pt idx="3">
                  <c:v>0.3</c:v>
                </c:pt>
                <c:pt idx="4">
                  <c:v>0.2</c:v>
                </c:pt>
                <c:pt idx="5">
                  <c:v>0.23333333333333334</c:v>
                </c:pt>
                <c:pt idx="6">
                  <c:v>0</c:v>
                </c:pt>
                <c:pt idx="7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297-B2BC-E92C79CC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756400"/>
        <c:axId val="1844743024"/>
      </c:radarChart>
      <c:catAx>
        <c:axId val="19337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TABELAS!$D$271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TABELAS!$C$272:$C$279</c:f>
              <c:strCache>
                <c:ptCount val="8"/>
                <c:pt idx="0">
                  <c:v>Mão de obra qualificada</c:v>
                </c:pt>
                <c:pt idx="1">
                  <c:v>Sanidade do rebanho</c:v>
                </c:pt>
                <c:pt idx="2">
                  <c:v>Qualidade genética dos animais</c:v>
                </c:pt>
                <c:pt idx="3">
                  <c:v>Alimentação do rebanho</c:v>
                </c:pt>
                <c:pt idx="4">
                  <c:v>Manejo do rebanho</c:v>
                </c:pt>
                <c:pt idx="5">
                  <c:v>Reprodução do rebanho</c:v>
                </c:pt>
                <c:pt idx="6">
                  <c:v>Preço do leite</c:v>
                </c:pt>
                <c:pt idx="7">
                  <c:v>Conhecimento de técnicas eficientes</c:v>
                </c:pt>
              </c:strCache>
            </c:strRef>
          </c:cat>
          <c:val>
            <c:numRef>
              <c:f>TABELAS!$D$272:$D$279</c:f>
              <c:numCache>
                <c:formatCode>0.00%</c:formatCode>
                <c:ptCount val="8"/>
                <c:pt idx="0">
                  <c:v>0.3</c:v>
                </c:pt>
                <c:pt idx="1">
                  <c:v>0.33333333333333331</c:v>
                </c:pt>
                <c:pt idx="2">
                  <c:v>0.6</c:v>
                </c:pt>
                <c:pt idx="3">
                  <c:v>0.5</c:v>
                </c:pt>
                <c:pt idx="4">
                  <c:v>0.26666666666666666</c:v>
                </c:pt>
                <c:pt idx="5">
                  <c:v>0.36666666666666664</c:v>
                </c:pt>
                <c:pt idx="6">
                  <c:v>0.33333333333333331</c:v>
                </c:pt>
                <c:pt idx="7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3-4EF5-AAF3-50A1D7BCA0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3756400"/>
        <c:axId val="1844743024"/>
      </c:barChart>
      <c:catAx>
        <c:axId val="19337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TABELAS!$D$382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TABELAS!$C$383:$C$387</c:f>
              <c:strCache>
                <c:ptCount val="5"/>
                <c:pt idx="0">
                  <c:v>PRONAF</c:v>
                </c:pt>
                <c:pt idx="1">
                  <c:v>PRONAMPE</c:v>
                </c:pt>
                <c:pt idx="2">
                  <c:v>Cooperativas de crédito ou bancos privados</c:v>
                </c:pt>
                <c:pt idx="3">
                  <c:v>Plano Safra</c:v>
                </c:pt>
                <c:pt idx="4">
                  <c:v>Não utilizou crédito</c:v>
                </c:pt>
              </c:strCache>
            </c:strRef>
          </c:cat>
          <c:val>
            <c:numRef>
              <c:f>TABELAS!$D$383:$D$387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0.33333333333333331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C-4921-B256-774595C2D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756400"/>
        <c:axId val="1844743024"/>
      </c:radarChart>
      <c:catAx>
        <c:axId val="19337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TABELAS!$C$502</c:f>
              <c:strCache>
                <c:ptCount val="1"/>
                <c:pt idx="0">
                  <c:v>Brachiaria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TABELAS!$D$501:$D$501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TABELAS!$D$502:$D$502</c:f>
              <c:numCache>
                <c:formatCode>0.00%</c:formatCode>
                <c:ptCount val="1"/>
                <c:pt idx="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7-402B-B2D1-5CF05EC02C43}"/>
            </c:ext>
          </c:extLst>
        </c:ser>
        <c:ser>
          <c:idx val="1"/>
          <c:order val="1"/>
          <c:tx>
            <c:strRef>
              <c:f>TABELAS!$C$503</c:f>
              <c:strCache>
                <c:ptCount val="1"/>
                <c:pt idx="0">
                  <c:v>Panicum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TABELAS!$D$501:$D$501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TABELAS!$D$503:$D$503</c:f>
              <c:numCache>
                <c:formatCode>0.00%</c:formatCode>
                <c:ptCount val="1"/>
                <c:pt idx="0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7-402B-B2D1-5CF05EC02C43}"/>
            </c:ext>
          </c:extLst>
        </c:ser>
        <c:ser>
          <c:idx val="2"/>
          <c:order val="2"/>
          <c:tx>
            <c:strRef>
              <c:f>TABELAS!$C$504</c:f>
              <c:strCache>
                <c:ptCount val="1"/>
                <c:pt idx="0">
                  <c:v>Capim-elefante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TABELAS!$D$501:$D$501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TABELAS!$D$504:$D$504</c:f>
              <c:numCache>
                <c:formatCode>0.00%</c:formatCode>
                <c:ptCount val="1"/>
                <c:pt idx="0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47-402B-B2D1-5CF05EC02C43}"/>
            </c:ext>
          </c:extLst>
        </c:ser>
        <c:ser>
          <c:idx val="3"/>
          <c:order val="3"/>
          <c:tx>
            <c:strRef>
              <c:f>TABELAS!$C$505</c:f>
              <c:strCache>
                <c:ptCount val="1"/>
                <c:pt idx="0">
                  <c:v>Cynodon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TABELAS!$D$501:$D$501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TABELAS!$D$505:$D$505</c:f>
              <c:numCache>
                <c:formatCode>0.00%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47-402B-B2D1-5CF05EC02C43}"/>
            </c:ext>
          </c:extLst>
        </c:ser>
        <c:ser>
          <c:idx val="4"/>
          <c:order val="4"/>
          <c:tx>
            <c:strRef>
              <c:f>TABELAS!$C$506</c:f>
              <c:strCache>
                <c:ptCount val="1"/>
                <c:pt idx="0">
                  <c:v>Tifton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TABELAS!$D$501:$D$501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TABELAS!$D$506:$D$506</c:f>
              <c:numCache>
                <c:formatCode>0.00%</c:formatCode>
                <c:ptCount val="1"/>
                <c:pt idx="0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47-402B-B2D1-5CF05EC02C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3756400"/>
        <c:axId val="1844743024"/>
      </c:barChart>
      <c:catAx>
        <c:axId val="1933756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TABELAS!$D$533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TABELAS!$C$534:$C$537</c:f>
              <c:strCache>
                <c:ptCount val="4"/>
                <c:pt idx="0">
                  <c:v>Correção e adubação do solo na implantação</c:v>
                </c:pt>
                <c:pt idx="1">
                  <c:v>Rotação de pastagens</c:v>
                </c:pt>
                <c:pt idx="2">
                  <c:v>Divisão em piquetes</c:v>
                </c:pt>
                <c:pt idx="3">
                  <c:v>Cerca elétrica nos piquetes</c:v>
                </c:pt>
              </c:strCache>
            </c:strRef>
          </c:cat>
          <c:val>
            <c:numRef>
              <c:f>TABELAS!$D$534:$D$537</c:f>
              <c:numCache>
                <c:formatCode>0.00%</c:formatCode>
                <c:ptCount val="4"/>
                <c:pt idx="0">
                  <c:v>0.36666666666666664</c:v>
                </c:pt>
                <c:pt idx="1">
                  <c:v>0.26666666666666666</c:v>
                </c:pt>
                <c:pt idx="2">
                  <c:v>0.4</c:v>
                </c:pt>
                <c:pt idx="3">
                  <c:v>0.23333333333333334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2-4DD0-A8F8-6624BD772A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3756400"/>
        <c:axId val="1844743024"/>
      </c:barChart>
      <c:catAx>
        <c:axId val="19337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TABELAS!$D$577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TABELAS!$C$578:$C$584</c:f>
              <c:strCache>
                <c:ptCount val="7"/>
                <c:pt idx="0">
                  <c:v>Produção de leite</c:v>
                </c:pt>
                <c:pt idx="1">
                  <c:v>Produtividade</c:v>
                </c:pt>
                <c:pt idx="2">
                  <c:v>Receitas</c:v>
                </c:pt>
                <c:pt idx="3">
                  <c:v>Despesas</c:v>
                </c:pt>
                <c:pt idx="4">
                  <c:v>Venda de genética</c:v>
                </c:pt>
                <c:pt idx="5">
                  <c:v>Venda de animais</c:v>
                </c:pt>
                <c:pt idx="6">
                  <c:v>Não estabelece metas</c:v>
                </c:pt>
              </c:strCache>
            </c:strRef>
          </c:cat>
          <c:val>
            <c:numRef>
              <c:f>TABELAS!$D$578:$D$584</c:f>
              <c:numCache>
                <c:formatCode>0.00%</c:formatCode>
                <c:ptCount val="7"/>
                <c:pt idx="0">
                  <c:v>0.76666666666666672</c:v>
                </c:pt>
                <c:pt idx="1">
                  <c:v>0.83333333333333337</c:v>
                </c:pt>
                <c:pt idx="2">
                  <c:v>0.36666666666666664</c:v>
                </c:pt>
                <c:pt idx="3">
                  <c:v>0.36666666666666664</c:v>
                </c:pt>
                <c:pt idx="4">
                  <c:v>0.13333333333333333</c:v>
                </c:pt>
                <c:pt idx="5">
                  <c:v>0.16666666666666666</c:v>
                </c:pt>
                <c:pt idx="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4-4EF5-B0A7-95CF844E14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33756400"/>
        <c:axId val="1844743024"/>
      </c:lineChart>
      <c:catAx>
        <c:axId val="19337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'TABELA 1'!$C$882</c:f>
              <c:strCache>
                <c:ptCount val="1"/>
                <c:pt idx="0">
                  <c:v>Carência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'TABELA 1'!$A$883:$A$892</c:f>
              <c:strCache>
                <c:ptCount val="10"/>
                <c:pt idx="0">
                  <c:v>Planejamento da empresa rural</c:v>
                </c:pt>
                <c:pt idx="1">
                  <c:v>Cálculo do custo de produção</c:v>
                </c:pt>
                <c:pt idx="2">
                  <c:v>Mercado do leite</c:v>
                </c:pt>
                <c:pt idx="3">
                  <c:v>Alimentação do rebanho</c:v>
                </c:pt>
                <c:pt idx="4">
                  <c:v>Sanidade do rebanho</c:v>
                </c:pt>
                <c:pt idx="5">
                  <c:v>Manejo do rebanho</c:v>
                </c:pt>
                <c:pt idx="6">
                  <c:v>Melhoramento genético</c:v>
                </c:pt>
                <c:pt idx="7">
                  <c:v>Gerenciamento da produção</c:v>
                </c:pt>
                <c:pt idx="8">
                  <c:v>Produção de leite e meio ambiente</c:v>
                </c:pt>
                <c:pt idx="9">
                  <c:v>Qualidade do leite</c:v>
                </c:pt>
              </c:strCache>
            </c:strRef>
          </c:cat>
          <c:val>
            <c:numRef>
              <c:f>'TABELA 1'!$C$883:$C$892</c:f>
              <c:numCache>
                <c:formatCode>0.00%</c:formatCode>
                <c:ptCount val="10"/>
                <c:pt idx="0">
                  <c:v>0.11904761904761903</c:v>
                </c:pt>
                <c:pt idx="1">
                  <c:v>0.14285714285714285</c:v>
                </c:pt>
                <c:pt idx="2">
                  <c:v>0.38095238095238093</c:v>
                </c:pt>
                <c:pt idx="3">
                  <c:v>0</c:v>
                </c:pt>
                <c:pt idx="4">
                  <c:v>4.7619047619047616E-2</c:v>
                </c:pt>
                <c:pt idx="5">
                  <c:v>0</c:v>
                </c:pt>
                <c:pt idx="6">
                  <c:v>0.11904761904761903</c:v>
                </c:pt>
                <c:pt idx="7">
                  <c:v>7.1428571428571425E-2</c:v>
                </c:pt>
                <c:pt idx="8">
                  <c:v>9.5238095238095233E-2</c:v>
                </c:pt>
                <c:pt idx="9">
                  <c:v>2.3809523809523808E-2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A-4CEB-8E75-5CE1C8825F93}"/>
            </c:ext>
          </c:extLst>
        </c:ser>
        <c:ser>
          <c:idx val="1"/>
          <c:order val="1"/>
          <c:tx>
            <c:strRef>
              <c:f>'TABELA 1'!$B$882</c:f>
              <c:strCache>
                <c:ptCount val="1"/>
                <c:pt idx="0">
                  <c:v>Recebida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'TABELA 1'!$A$883:$A$892</c:f>
              <c:strCache>
                <c:ptCount val="10"/>
                <c:pt idx="0">
                  <c:v>Planejamento da empresa rural</c:v>
                </c:pt>
                <c:pt idx="1">
                  <c:v>Cálculo do custo de produção</c:v>
                </c:pt>
                <c:pt idx="2">
                  <c:v>Mercado do leite</c:v>
                </c:pt>
                <c:pt idx="3">
                  <c:v>Alimentação do rebanho</c:v>
                </c:pt>
                <c:pt idx="4">
                  <c:v>Sanidade do rebanho</c:v>
                </c:pt>
                <c:pt idx="5">
                  <c:v>Manejo do rebanho</c:v>
                </c:pt>
                <c:pt idx="6">
                  <c:v>Melhoramento genético</c:v>
                </c:pt>
                <c:pt idx="7">
                  <c:v>Gerenciamento da produção</c:v>
                </c:pt>
                <c:pt idx="8">
                  <c:v>Produção de leite e meio ambiente</c:v>
                </c:pt>
                <c:pt idx="9">
                  <c:v>Qualidade do leite</c:v>
                </c:pt>
              </c:strCache>
            </c:strRef>
          </c:cat>
          <c:val>
            <c:numRef>
              <c:f>'TABELA 1'!$B$883:$B$892</c:f>
              <c:numCache>
                <c:formatCode>0.00%</c:formatCode>
                <c:ptCount val="10"/>
                <c:pt idx="0">
                  <c:v>0.10112359550561799</c:v>
                </c:pt>
                <c:pt idx="1">
                  <c:v>0.13483146067415733</c:v>
                </c:pt>
                <c:pt idx="2">
                  <c:v>1.1235955056179777E-2</c:v>
                </c:pt>
                <c:pt idx="3">
                  <c:v>0.2359550561797753</c:v>
                </c:pt>
                <c:pt idx="4">
                  <c:v>0.21348314606741575</c:v>
                </c:pt>
                <c:pt idx="5">
                  <c:v>8.9887640449438214E-2</c:v>
                </c:pt>
                <c:pt idx="6">
                  <c:v>0.10112359550561799</c:v>
                </c:pt>
                <c:pt idx="7">
                  <c:v>2.2471910112359553E-2</c:v>
                </c:pt>
                <c:pt idx="8">
                  <c:v>0</c:v>
                </c:pt>
                <c:pt idx="9">
                  <c:v>8.9887640449438214E-2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A-4CEB-8E75-5CE1C882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756400"/>
        <c:axId val="1844743024"/>
      </c:areaChart>
      <c:catAx>
        <c:axId val="19337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44743024"/>
        <c:crosses val="autoZero"/>
        <c:auto val="1"/>
        <c:lblAlgn val="ctr"/>
        <c:lblOffset val="100"/>
        <c:noMultiLvlLbl val="0"/>
      </c:catAx>
      <c:valAx>
        <c:axId val="1844743024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375640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TABELAS!$D$306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2A-4A93-A82E-7CF29B3BDA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2A-4A93-A82E-7CF29B3BDA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2A-4A93-A82E-7CF29B3BDA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TABELAS!$C$307:$C$309</c:f>
              <c:strCache>
                <c:ptCount val="3"/>
                <c:pt idx="0">
                  <c:v>Aumentar a produção</c:v>
                </c:pt>
                <c:pt idx="1">
                  <c:v>Continuar como está</c:v>
                </c:pt>
                <c:pt idx="2">
                  <c:v>Não sabe</c:v>
                </c:pt>
              </c:strCache>
            </c:strRef>
          </c:cat>
          <c:val>
            <c:numRef>
              <c:f>TABELAS!$D$307:$D$309</c:f>
              <c:numCache>
                <c:formatCode>0.00%</c:formatCode>
                <c:ptCount val="3"/>
                <c:pt idx="0">
                  <c:v>0.76666666666666672</c:v>
                </c:pt>
                <c:pt idx="1">
                  <c:v>0.16666666666666666</c:v>
                </c:pt>
                <c:pt idx="2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F-428A-865D-C07240AEA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sunburst" uniqueId="{CEC220C1-E6B7-47A1-9329-B342CA35272F}">
          <cx:tx>
            <cx:txData>
              <cx:f>_xlchart.v1.1</cx:f>
              <cx:v>Valor</cx:v>
            </cx:txData>
          </cx:tx>
          <cx:dataLabels>
            <cx:visibility seriesName="0" categoryName="0" value="1"/>
            <cx:separator>, </cx:separator>
          </cx:dataLabels>
          <cx:dataId val="0"/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endParaRPr lang="pt-BR" sz="900" b="0" i="0" u="none" strike="noStrike" kern="1200" baseline="0">
            <a:solidFill>
              <a:schemeClr val="tx1"/>
            </a:solidFill>
            <a:latin typeface="Aptos Narrow" panose="02110004020202020204"/>
          </a:endParaRPr>
        </a:p>
      </cx:txPr>
    </cx:legend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84</xdr:row>
      <xdr:rowOff>0</xdr:rowOff>
    </xdr:from>
    <xdr:to>
      <xdr:col>4</xdr:col>
      <xdr:colOff>0</xdr:colOff>
      <xdr:row>102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97CCD6-BD07-4F60-A31D-F31FC80BD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231</xdr:row>
      <xdr:rowOff>0</xdr:rowOff>
    </xdr:from>
    <xdr:to>
      <xdr:col>4</xdr:col>
      <xdr:colOff>0</xdr:colOff>
      <xdr:row>249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FA3541-B573-4A6E-BC4F-0D92794B7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283</xdr:row>
      <xdr:rowOff>0</xdr:rowOff>
    </xdr:from>
    <xdr:to>
      <xdr:col>4</xdr:col>
      <xdr:colOff>0</xdr:colOff>
      <xdr:row>301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D992C5-B405-430C-BE67-F24437679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390</xdr:row>
      <xdr:rowOff>0</xdr:rowOff>
    </xdr:from>
    <xdr:to>
      <xdr:col>4</xdr:col>
      <xdr:colOff>0</xdr:colOff>
      <xdr:row>408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2377C87-F863-429B-8CAB-508B88B3B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510</xdr:row>
      <xdr:rowOff>0</xdr:rowOff>
    </xdr:from>
    <xdr:to>
      <xdr:col>4</xdr:col>
      <xdr:colOff>0</xdr:colOff>
      <xdr:row>528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7D222C-ACF5-43E0-A739-B01F68C2B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541</xdr:row>
      <xdr:rowOff>0</xdr:rowOff>
    </xdr:from>
    <xdr:to>
      <xdr:col>4</xdr:col>
      <xdr:colOff>0</xdr:colOff>
      <xdr:row>559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A568040-AB34-41F8-B8A3-33ED13F39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588</xdr:row>
      <xdr:rowOff>0</xdr:rowOff>
    </xdr:from>
    <xdr:to>
      <xdr:col>4</xdr:col>
      <xdr:colOff>0</xdr:colOff>
      <xdr:row>606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81B7023-8986-4C67-9ECA-E1BC616EB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673</xdr:row>
      <xdr:rowOff>0</xdr:rowOff>
    </xdr:from>
    <xdr:to>
      <xdr:col>4</xdr:col>
      <xdr:colOff>0</xdr:colOff>
      <xdr:row>691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57E0845-5AD1-470B-A310-93BC0591C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314</xdr:row>
      <xdr:rowOff>0</xdr:rowOff>
    </xdr:from>
    <xdr:to>
      <xdr:col>4</xdr:col>
      <xdr:colOff>0</xdr:colOff>
      <xdr:row>332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18E53DF-7B44-478E-A12D-C025ED94A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347</xdr:row>
      <xdr:rowOff>0</xdr:rowOff>
    </xdr:from>
    <xdr:to>
      <xdr:col>4</xdr:col>
      <xdr:colOff>0</xdr:colOff>
      <xdr:row>365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41A79102-0516-4886-9997-E5CBA56AF4D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6100" y="66606420"/>
              <a:ext cx="4808220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358140</xdr:colOff>
      <xdr:row>0</xdr:row>
      <xdr:rowOff>45720</xdr:rowOff>
    </xdr:from>
    <xdr:to>
      <xdr:col>5</xdr:col>
      <xdr:colOff>0</xdr:colOff>
      <xdr:row>7</xdr:row>
      <xdr:rowOff>152220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unicípio">
              <a:extLst>
                <a:ext uri="{FF2B5EF4-FFF2-40B4-BE49-F238E27FC236}">
                  <a16:creationId xmlns:a16="http://schemas.microsoft.com/office/drawing/2014/main" id="{7C3FA015-0D12-49F4-97A5-2D085274A9A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nicíp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0" y="45720"/>
              <a:ext cx="1798320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  <xdr:twoCellAnchor editAs="absolute">
    <xdr:from>
      <xdr:col>0</xdr:col>
      <xdr:colOff>2468880</xdr:colOff>
      <xdr:row>0</xdr:row>
      <xdr:rowOff>45720</xdr:rowOff>
    </xdr:from>
    <xdr:to>
      <xdr:col>2</xdr:col>
      <xdr:colOff>1182780</xdr:colOff>
      <xdr:row>7</xdr:row>
      <xdr:rowOff>152220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IPOLOGIA DA PRODUÇÃO DE LEITE">
              <a:extLst>
                <a:ext uri="{FF2B5EF4-FFF2-40B4-BE49-F238E27FC236}">
                  <a16:creationId xmlns:a16="http://schemas.microsoft.com/office/drawing/2014/main" id="{5C83F488-A2D8-49A5-B8E8-20514A9E984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LOGIA DA PRODUÇÃO DE LEI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8880" y="45720"/>
              <a:ext cx="1800000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  <xdr:twoCellAnchor editAs="absolute">
    <xdr:from>
      <xdr:col>2</xdr:col>
      <xdr:colOff>1524000</xdr:colOff>
      <xdr:row>0</xdr:row>
      <xdr:rowOff>45720</xdr:rowOff>
    </xdr:from>
    <xdr:to>
      <xdr:col>3</xdr:col>
      <xdr:colOff>62640</xdr:colOff>
      <xdr:row>7</xdr:row>
      <xdr:rowOff>152220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ESTRATO DE PRODUÇÃO (L/DIA)">
              <a:extLst>
                <a:ext uri="{FF2B5EF4-FFF2-40B4-BE49-F238E27FC236}">
                  <a16:creationId xmlns:a16="http://schemas.microsoft.com/office/drawing/2014/main" id="{2B6F0762-2C49-476A-859D-A3D2FC640E0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RATO DE PRODUÇÃO (L/DI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45720"/>
              <a:ext cx="1800000" cy="14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Gomes" refreshedDate="46245.578689236114" createdVersion="8" refreshedVersion="8" minRefreshableVersion="3" recordCount="30" xr:uid="{FEBDB79F-389A-4EEB-A908-D2A199CCF6F0}">
  <cacheSource type="worksheet">
    <worksheetSource ref="A1:LK31" sheet="DADOS 1"/>
  </cacheSource>
  <cacheFields count="323">
    <cacheField name="Nome" numFmtId="0">
      <sharedItems containsNonDate="0" containsString="0" containsBlank="1"/>
    </cacheField>
    <cacheField name="Município" numFmtId="0">
      <sharedItems count="13">
        <s v="Coimbra"/>
        <s v="Paula Cândido"/>
        <s v="Cajuri"/>
        <s v="Presidente Bernardes"/>
        <s v="Teixeiras"/>
        <s v="Viçosa"/>
        <s v="Porto Firme"/>
        <s v="Canaã"/>
        <s v="Ubari"/>
        <s v="Piranga"/>
        <s v="Guiricema "/>
        <s v="Dores do Turvo"/>
        <s v="Ubá"/>
      </sharedItems>
    </cacheField>
    <cacheField name="TIPOLOGIA DA PRODUÇÃO DE LEITE" numFmtId="0">
      <sharedItems count="2">
        <s v="Não familiar"/>
        <s v="Familiar"/>
      </sharedItems>
    </cacheField>
    <cacheField name="ESTRATO DE PRODUÇÃO (L/DIA)" numFmtId="0">
      <sharedItems count="5">
        <s v="4) 1001 a 2500"/>
        <s v="2) 201 a 500"/>
        <s v="1) Até 200"/>
        <s v="5) Acima de 2501"/>
        <s v="3) 501 a 1000"/>
      </sharedItems>
    </cacheField>
    <cacheField name="1.2. Topografia/relevo predominante da propriedade rural:" numFmtId="0">
      <sharedItems count="3">
        <s v="Suavemente acidentado ou acidentado"/>
        <s v="Fortemente acidentado"/>
        <s v="Extremamente acidentado"/>
      </sharedItems>
    </cacheField>
    <cacheField name="1.5. Sistema de produção de leite cru?" numFmtId="0">
      <sharedItems count="2">
        <s v="Intensivo"/>
        <s v="Semiextensivo"/>
      </sharedItems>
    </cacheField>
    <cacheField name="1.6. Tipos de benfeitorias na propriedade rural (Marque o tipo de construção para cada benfeitoria) [Casa sede]" numFmtId="0">
      <sharedItems/>
    </cacheField>
    <cacheField name="1.6. Tipos de benfeitorias na propriedade rural (Marque o tipo de construção para cada benfeitoria) [Casa/alojamento de empregado]" numFmtId="0">
      <sharedItems/>
    </cacheField>
    <cacheField name="1.6. Tipos de benfeitorias na propriedade rural (Marque o tipo de construção para cada benfeitoria) [Galpão para máquinas, implementos e afins]" numFmtId="0">
      <sharedItems/>
    </cacheField>
    <cacheField name="1.7. Existência de recursos hídricos e serviços na propriedade rural:" numFmtId="0">
      <sharedItems/>
    </cacheField>
    <cacheField name="CAR - Cadastro Ambiental Rural" numFmtId="0">
      <sharedItems containsBlank="1"/>
    </cacheField>
    <cacheField name="Cursos d’água/riacho/nascentes/mina" numFmtId="0">
      <sharedItems containsBlank="1"/>
    </cacheField>
    <cacheField name="Vegetação nativa/mata/floresta" numFmtId="0">
      <sharedItems containsBlank="1"/>
    </cacheField>
    <cacheField name="Área de preservação permanentes" numFmtId="0">
      <sharedItems containsBlank="1"/>
    </cacheField>
    <cacheField name="Área de reserva legal" numFmtId="0">
      <sharedItems containsBlank="1"/>
    </cacheField>
    <cacheField name="Serviço de água potável" numFmtId="0">
      <sharedItems containsBlank="1"/>
    </cacheField>
    <cacheField name="Serviço de esgoto doméstico tratado" numFmtId="0">
      <sharedItems containsBlank="1"/>
    </cacheField>
    <cacheField name="Serviço de telefonia" numFmtId="0">
      <sharedItems containsBlank="1"/>
    </cacheField>
    <cacheField name="2.1. Idade (anos)" numFmtId="0">
      <sharedItems containsSemiMixedTypes="0" containsString="0" containsNumber="1" containsInteger="1" minValue="25" maxValue="84"/>
    </cacheField>
    <cacheField name="2.2. Tempo que é produtor(a) de leite (anos)" numFmtId="0">
      <sharedItems containsSemiMixedTypes="0" containsString="0" containsNumber="1" minValue="0.2" maxValue="50"/>
    </cacheField>
    <cacheField name="2.3. Sexo" numFmtId="0">
      <sharedItems count="2">
        <s v="Masculino"/>
        <s v="Feminino"/>
      </sharedItems>
    </cacheField>
    <cacheField name="2.4. Escolaridade:" numFmtId="0">
      <sharedItems count="7">
        <s v="Pós-graduação"/>
        <s v="Ensino médio incompleto"/>
        <s v="Ensino médio completo"/>
        <s v="Ensino fundamental incompleto"/>
        <s v="Ensino superior completo"/>
        <s v="Ensino fundamental completo"/>
        <s v="Ensino superior incompleto"/>
      </sharedItems>
    </cacheField>
    <cacheField name="2.5. Residência principal (mais de 50% do tempo):" numFmtId="0">
      <sharedItems count="2">
        <s v="Na cidade"/>
        <s v="Na propriedade rural"/>
      </sharedItems>
    </cacheField>
    <cacheField name="2.6. Distribuição da área utilizada na produção leiteira: Própria (%)" numFmtId="2">
      <sharedItems containsSemiMixedTypes="0" containsString="0" containsNumber="1" containsInteger="1" minValue="0" maxValue="100"/>
    </cacheField>
    <cacheField name="2.6. Distribuição da área utilizada na produção leiteira: Arrendada (%)" numFmtId="2">
      <sharedItems containsSemiMixedTypes="0" containsString="0" containsNumber="1" containsInteger="1" minValue="0" maxValue="100"/>
    </cacheField>
    <cacheField name="2.6. Distribuição da área utilizada na produção leiteira: Parceria (%)" numFmtId="2">
      <sharedItems containsSemiMixedTypes="0" containsString="0" containsNumber="1" containsInteger="1" minValue="0" maxValue="0"/>
    </cacheField>
    <cacheField name="2.6. Distribuição da área utilizada na produção leiteira: Comodato (%)" numFmtId="2">
      <sharedItems containsSemiMixedTypes="0" containsString="0" containsNumber="1" containsInteger="1" minValue="0" maxValue="100"/>
    </cacheField>
    <cacheField name="2.6. Distribuição da área utilizada na produção leiteira: Assentamento (%)" numFmtId="2">
      <sharedItems containsSemiMixedTypes="0" containsString="0" containsNumber="1" containsInteger="1" minValue="0" maxValue="0"/>
    </cacheField>
    <cacheField name="2.6. Distribuição da área utilizada na produção leiteira: Como posseiro (%)" numFmtId="2">
      <sharedItems containsSemiMixedTypes="0" containsString="0" containsNumber="1" containsInteger="1" minValue="0" maxValue="0"/>
    </cacheField>
    <cacheField name="2.7. Origem da área própria utilizada na atividade leiteira: Herança ou doação (%)" numFmtId="2">
      <sharedItems containsString="0" containsBlank="1" containsNumber="1" containsInteger="1" minValue="0" maxValue="100"/>
    </cacheField>
    <cacheField name="2.7. Origem da área própria utilizada na atividade leiteira: Compra (%)" numFmtId="2">
      <sharedItems containsString="0" containsBlank="1" containsNumber="1" containsInteger="1" minValue="0" maxValue="100"/>
    </cacheField>
    <cacheField name="2.7. Origem da área própria utilizada na atividade leiteira: Posse ou usucapião (%)" numFmtId="2">
      <sharedItems containsString="0" containsBlank="1" containsNumber="1" containsInteger="1" minValue="0" maxValue="0"/>
    </cacheField>
    <cacheField name="2.7. Origem da área própria utilizada na atividade leiteira: Titulação ou licença de ocupação (%)" numFmtId="2">
      <sharedItems containsString="0" containsBlank="1" containsNumber="1" containsInteger="1" minValue="0" maxValue="100"/>
    </cacheField>
    <cacheField name="2.7. Origem da área própria utilizada na atividade leiteira: Outro (%)" numFmtId="2">
      <sharedItems containsString="0" containsBlank="1" containsNumber="1" containsInteger="1" minValue="0" maxValue="100"/>
    </cacheField>
    <cacheField name="2.8. Faz parte de alguma associação ou cooperativa relacionada à produção de leite?" numFmtId="0">
      <sharedItems count="2">
        <s v="Não"/>
        <s v="Sim"/>
      </sharedItems>
    </cacheField>
    <cacheField name="2.9. Composição da renda bruta do produtor rural: Pecuária de leite (%)" numFmtId="0">
      <sharedItems containsSemiMixedTypes="0" containsString="0" containsNumber="1" containsInteger="1" minValue="5" maxValue="100"/>
    </cacheField>
    <cacheField name="2.9. Composição da renda bruta do produtor rural: Outras criações (%)" numFmtId="0">
      <sharedItems containsSemiMixedTypes="0" containsString="0" containsNumber="1" containsInteger="1" minValue="0" maxValue="50"/>
    </cacheField>
    <cacheField name="2.9. Composição da renda bruta do produtor rural: Culturas permanentes (%)" numFmtId="0">
      <sharedItems containsSemiMixedTypes="0" containsString="0" containsNumber="1" containsInteger="1" minValue="0" maxValue="30"/>
    </cacheField>
    <cacheField name="2.9. Composição da renda bruta do produtor rural: Culturas anuais (%)" numFmtId="0">
      <sharedItems containsSemiMixedTypes="0" containsString="0" containsNumber="1" containsInteger="1" minValue="0" maxValue="70"/>
    </cacheField>
    <cacheField name="2.9. Composição da renda bruta do produtor rural: Fora da propriedade (%)" numFmtId="0">
      <sharedItems containsSemiMixedTypes="0" containsString="0" containsNumber="1" containsInteger="1" minValue="0" maxValue="90"/>
    </cacheField>
    <cacheField name="2.10. Composição da renda bruta da atividade leiteira: Venda e consumo de leite (%)" numFmtId="0">
      <sharedItems containsString="0" containsBlank="1" containsNumber="1" minValue="50" maxValue="100"/>
    </cacheField>
    <cacheField name="2.10. Composição da renda bruta da atividade leiteira: Venda e consumo de animais (%)" numFmtId="0">
      <sharedItems containsString="0" containsBlank="1" containsNumber="1" minValue="0" maxValue="50"/>
    </cacheField>
    <cacheField name="2.10. Composição da renda bruta da atividade leiteira: Outro (%)" numFmtId="0">
      <sharedItems containsString="0" containsBlank="1" containsNumber="1" containsInteger="1" minValue="0" maxValue="20"/>
    </cacheField>
    <cacheField name="2.11. Recebe ou acessa algum benefício social no âmbito do governo? (Pode marcar mais de uma opção)" numFmtId="0">
      <sharedItems/>
    </cacheField>
    <cacheField name="Bolsa família" numFmtId="0">
      <sharedItems containsBlank="1"/>
    </cacheField>
    <cacheField name="Aposentadoria" numFmtId="0">
      <sharedItems containsBlank="1"/>
    </cacheField>
    <cacheField name="PRONAF" numFmtId="0">
      <sharedItems containsBlank="1"/>
    </cacheField>
    <cacheField name="PRONAMPE" numFmtId="0">
      <sharedItems containsBlank="1"/>
    </cacheField>
    <cacheField name="Seguro Safra" numFmtId="0">
      <sharedItems containsBlank="1"/>
    </cacheField>
    <cacheField name="Programa de Aquisição de Alimentos (PAA)" numFmtId="0">
      <sharedItems containsNonDate="0" containsString="0" containsBlank="1"/>
    </cacheField>
    <cacheField name="Programa de Garantia de Preços para a Agricultura Familiar (PGPAF)" numFmtId="0">
      <sharedItems containsNonDate="0" containsString="0" containsBlank="1"/>
    </cacheField>
    <cacheField name="Benefício de Prestação Continuada" numFmtId="0">
      <sharedItems containsNonDate="0" containsString="0" containsBlank="1"/>
    </cacheField>
    <cacheField name="Outro programa municipal/estadual" numFmtId="0">
      <sharedItems containsNonDate="0" containsString="0" containsBlank="1"/>
    </cacheField>
    <cacheField name="Não recebe benefício do governo" numFmtId="0">
      <sharedItems containsBlank="1"/>
    </cacheField>
    <cacheField name="3.1. Atualmente, seu retorno financeiro na produção de leite pode ser considerado:" numFmtId="0">
      <sharedItems count="4">
        <s v="Regular"/>
        <s v="Bom"/>
        <s v="Muito bom"/>
        <s v="Ruim"/>
      </sharedItems>
    </cacheField>
    <cacheField name="3.2. Sua atividade leiteira se mantém sem recursos externos?" numFmtId="0">
      <sharedItems count="2">
        <s v="Não"/>
        <s v="Sim"/>
      </sharedItems>
    </cacheField>
    <cacheField name="3.3. Por que está na atividade do leite? (Marque no máximo 3 alternativas)" numFmtId="0">
      <sharedItems/>
    </cacheField>
    <cacheField name="Por gostar" numFmtId="0">
      <sharedItems containsBlank="1"/>
    </cacheField>
    <cacheField name="Por ser uma atividade lucrativa" numFmtId="0">
      <sharedItems containsBlank="1"/>
    </cacheField>
    <cacheField name="Por proporcionar renda mensal" numFmtId="0">
      <sharedItems containsBlank="1"/>
    </cacheField>
    <cacheField name="A atividade leiteira é uma tradição na família" numFmtId="0">
      <sharedItems containsBlank="1"/>
    </cacheField>
    <cacheField name="Combina com outras explorações da propriedade" numFmtId="0">
      <sharedItems containsBlank="1"/>
    </cacheField>
    <cacheField name="Tem mercado garantido" numFmtId="0">
      <sharedItems containsBlank="1"/>
    </cacheField>
    <cacheField name="Não sabe fazer outra coisa" numFmtId="0">
      <sharedItems containsNonDate="0" containsString="0" containsBlank="1"/>
    </cacheField>
    <cacheField name="Emprega a família" numFmtId="0">
      <sharedItems containsBlank="1"/>
    </cacheField>
    <cacheField name="Não sabe" numFmtId="0">
      <sharedItems containsNonDate="0" containsString="0" containsBlank="1"/>
    </cacheField>
    <cacheField name="3.4. Excluindo o preço do leite, quais os principais problemas que influenciam na sua produção? (Marque no máximo 3 alternativas)" numFmtId="0">
      <sharedItems/>
    </cacheField>
    <cacheField name="Falta de mão de obra" numFmtId="0">
      <sharedItems containsBlank="1"/>
    </cacheField>
    <cacheField name="Deficiência na qualificação da mão de obra" numFmtId="0">
      <sharedItems containsBlank="1"/>
    </cacheField>
    <cacheField name="Falta de crédito rural, com taxas de juros compatíveis com a atividade" numFmtId="0">
      <sharedItems containsBlank="1"/>
    </cacheField>
    <cacheField name="Deficiência de informações técnicas sobre a produção de leite" numFmtId="0">
      <sharedItems containsNonDate="0" containsString="0" containsBlank="1"/>
    </cacheField>
    <cacheField name="Deficiência de informações de mercado" numFmtId="0">
      <sharedItems containsBlank="1"/>
    </cacheField>
    <cacheField name="Custo dos insumos" numFmtId="0">
      <sharedItems containsBlank="1"/>
    </cacheField>
    <cacheField name="Deficiência na infraestrutura de transporte/estradas" numFmtId="0">
      <sharedItems containsBlank="1"/>
    </cacheField>
    <cacheField name="Instabilidade de políticas públicas" numFmtId="0">
      <sharedItems containsBlank="1"/>
    </cacheField>
    <cacheField name="Legislação ambiental" numFmtId="0">
      <sharedItems containsBlank="1"/>
    </cacheField>
    <cacheField name="Legislação trabalhista" numFmtId="0">
      <sharedItems containsBlank="1"/>
    </cacheField>
    <cacheField name="Baixa capacidade de endividamento" numFmtId="0">
      <sharedItems containsBlank="1"/>
    </cacheField>
    <cacheField name="Não sabe2" numFmtId="0">
      <sharedItems containsBlank="1"/>
    </cacheField>
    <cacheField name="3.6. Na sua opinião, quais os pontos mais importantes para uma produção de leite rentável? (Marque no máximo 3 alternativas)" numFmtId="0">
      <sharedItems/>
    </cacheField>
    <cacheField name="Mão de obra qualificada" numFmtId="0">
      <sharedItems containsBlank="1"/>
    </cacheField>
    <cacheField name="Sanidade do rebanho" numFmtId="0">
      <sharedItems containsBlank="1"/>
    </cacheField>
    <cacheField name="Qualidade genética dos animais" numFmtId="0">
      <sharedItems containsBlank="1"/>
    </cacheField>
    <cacheField name="Alimentação do rebanho" numFmtId="0">
      <sharedItems containsBlank="1"/>
    </cacheField>
    <cacheField name="Manejo do rebanho" numFmtId="0">
      <sharedItems containsBlank="1"/>
    </cacheField>
    <cacheField name="Reprodução do rebanho" numFmtId="0">
      <sharedItems containsBlank="1"/>
    </cacheField>
    <cacheField name="Preço do leite" numFmtId="0">
      <sharedItems containsBlank="1"/>
    </cacheField>
    <cacheField name="Conhecimento de técnicas eficientes" numFmtId="0">
      <sharedItems containsBlank="1"/>
    </cacheField>
    <cacheField name="Não sabe3" numFmtId="0">
      <sharedItems containsNonDate="0" containsString="0" containsBlank="1"/>
    </cacheField>
    <cacheField name="3.7. Para os próximos 5 anos, o que pretende fazer com a produção de leite?" numFmtId="0">
      <sharedItems count="3">
        <s v="Aumentar a produção"/>
        <s v="Não sabe"/>
        <s v="Continuar como está"/>
      </sharedItems>
    </cacheField>
    <cacheField name="3.8. Opinião do produtor sobre a sucessão em sua propriedade:" numFmtId="0">
      <sharedItems count="5">
        <s v="Filhos continuarão com a produção de leite"/>
        <s v="Filhos deixarão o meio rural"/>
        <s v="Não sabe"/>
        <s v="Propriedade será vendida"/>
        <s v="Filhos trocarão de atividade rural"/>
      </sharedItems>
    </cacheField>
    <cacheField name="4.1. Utilizou crédito rural nos últimos 12 meses?" numFmtId="0">
      <sharedItems count="2">
        <s v="Sim"/>
        <s v="Não"/>
      </sharedItems>
    </cacheField>
    <cacheField name="4.2. Se utilizou, quais as principais linhas de crédito? (Pode marcar mais de uma opção)" numFmtId="0">
      <sharedItems/>
    </cacheField>
    <cacheField name="PRONAF2" numFmtId="0">
      <sharedItems containsBlank="1"/>
    </cacheField>
    <cacheField name="INOVAGRO" numFmtId="0">
      <sharedItems containsNonDate="0" containsString="0" containsBlank="1"/>
    </cacheField>
    <cacheField name="PRONAMPE2" numFmtId="0">
      <sharedItems containsBlank="1"/>
    </cacheField>
    <cacheField name="Cooperativas de crédito ou bancos privados" numFmtId="0">
      <sharedItems containsBlank="1"/>
    </cacheField>
    <cacheField name="Plano Safra" numFmtId="0">
      <sharedItems containsBlank="1"/>
    </cacheField>
    <cacheField name="Crédito Informal" numFmtId="0">
      <sharedItems containsNonDate="0" containsString="0" containsBlank="1"/>
    </cacheField>
    <cacheField name="Não utilizou crédito" numFmtId="0">
      <sharedItems containsBlank="1"/>
    </cacheField>
    <cacheField name="4.3. Se não utilizou crédito, por quê? (Pode marcar mais de uma opção)" numFmtId="0">
      <sharedItems/>
    </cacheField>
    <cacheField name="Documentação pessoal incompleta" numFmtId="0">
      <sharedItems containsBlank="1"/>
    </cacheField>
    <cacheField name="Falta de regularização fundiária" numFmtId="0">
      <sharedItems containsNonDate="0" containsString="0" containsBlank="1"/>
    </cacheField>
    <cacheField name="Não tem capacidade para endividamento" numFmtId="0">
      <sharedItems containsBlank="1"/>
    </cacheField>
    <cacheField name="Dificuldade para obter financiamento" numFmtId="0">
      <sharedItems containsBlank="1"/>
    </cacheField>
    <cacheField name="Não precisou de crédito" numFmtId="0">
      <sharedItems containsBlank="1"/>
    </cacheField>
    <cacheField name="Utilizou crédito" numFmtId="0">
      <sharedItems containsBlank="1"/>
    </cacheField>
    <cacheField name="5.2. Produção de leite média dos últimos 12 meses (consumido + vendido) (litros/dia)" numFmtId="1">
      <sharedItems containsSemiMixedTypes="0" containsString="0" containsNumber="1" minValue="130" maxValue="10000"/>
    </cacheField>
    <cacheField name="5.2.1. Produção nas águas (litros/dia)" numFmtId="1">
      <sharedItems containsSemiMixedTypes="0" containsString="0" containsNumber="1" containsInteger="1" minValue="130" maxValue="9000"/>
    </cacheField>
    <cacheField name="5.2.2. Produção na seca (litros/dia)" numFmtId="1">
      <sharedItems containsSemiMixedTypes="0" containsString="0" containsNumber="1" containsInteger="1" minValue="130" maxValue="11000"/>
    </cacheField>
    <cacheField name="5.3. Produtividade média / vaca em lactação (litros/vaca/dia)" numFmtId="164">
      <sharedItems containsSemiMixedTypes="0" containsString="0" containsNumber="1" minValue="11.5" maxValue="35"/>
    </cacheField>
    <cacheField name="5.3.1. Produtividade nas águas (litros/vaca/dia)" numFmtId="0">
      <sharedItems containsSemiMixedTypes="0" containsString="0" containsNumber="1" minValue="11.5" maxValue="35"/>
    </cacheField>
    <cacheField name="5.3.2 Produtividade na seca (litros/vaca/dia)" numFmtId="0">
      <sharedItems containsSemiMixedTypes="0" containsString="0" containsNumber="1" minValue="11.5" maxValue="35"/>
    </cacheField>
    <cacheField name="5.4. Distribuição da produção de leite nos últimos 12 meses: Vendida para laticínio/cooperativa (leite fluído) (%)" numFmtId="0">
      <sharedItems containsSemiMixedTypes="0" containsString="0" containsNumber="1" minValue="80" maxValue="100"/>
    </cacheField>
    <cacheField name="5.4. Distribuição da produção de leite nos últimos 12 meses: Vendida diretamente para consumidor (leite fluído) (%)" numFmtId="0">
      <sharedItems containsSemiMixedTypes="0" containsString="0" containsNumber="1" containsInteger="1" minValue="0" maxValue="5"/>
    </cacheField>
    <cacheField name="5.4. Distribuição da produção de leite nos últimos 12 meses: Vendida na forma de derivados (queijos, requeijão, etc.) (%)" numFmtId="0">
      <sharedItems containsSemiMixedTypes="0" containsString="0" containsNumber="1" containsInteger="1" minValue="0" maxValue="1"/>
    </cacheField>
    <cacheField name="5.4. Distribuição da produção de leite nos últimos 12 meses: Autoconsumo humano (%)" numFmtId="0">
      <sharedItems containsSemiMixedTypes="0" containsString="0" containsNumber="1" minValue="0" maxValue="4"/>
    </cacheField>
    <cacheField name="5.4. Distribuição da produção de leite nos últimos 12 meses: Aleitamento (%)" numFmtId="0">
      <sharedItems containsSemiMixedTypes="0" containsString="0" containsNumber="1" minValue="0" maxValue="17"/>
    </cacheField>
    <cacheField name="5.5. Área própria total da propriedade (hectares)" numFmtId="0">
      <sharedItems containsString="0" containsBlank="1" containsNumber="1" minValue="1.5" maxValue="400"/>
    </cacheField>
    <cacheField name="5.6. Área destinada ao gado de leite (hectares)" numFmtId="0">
      <sharedItems containsSemiMixedTypes="0" containsString="0" containsNumber="1" minValue="0.17" maxValue="400"/>
    </cacheField>
    <cacheField name="5.7.1. Possui cônjuge ou companheiro(a)?" numFmtId="0">
      <sharedItems count="2">
        <s v="Sim"/>
        <s v="Não"/>
      </sharedItems>
    </cacheField>
    <cacheField name="Tem filhos" numFmtId="0">
      <sharedItems count="2">
        <s v="Sim"/>
        <s v="Não"/>
      </sharedItems>
    </cacheField>
    <cacheField name="Tem filhos que trabalham na propriedade rural" numFmtId="0">
      <sharedItems count="2">
        <s v="Sim"/>
        <s v="Não"/>
      </sharedItems>
    </cacheField>
    <cacheField name="TOTAL FAMILIAR (TRABALHADOR/DIA)" numFmtId="2">
      <sharedItems containsSemiMixedTypes="0" containsString="0" containsNumber="1" minValue="3.287671232876712E-2" maxValue="4.4876712328767123"/>
    </cacheField>
    <cacheField name="TOTAL CONTRATADA (TRABALHADOR/DIA)" numFmtId="2">
      <sharedItems containsSemiMixedTypes="0" containsString="0" containsNumber="1" minValue="0" maxValue="18"/>
    </cacheField>
    <cacheField name="MDO TOTAL (TRABALHADOR/DIA)" numFmtId="2">
      <sharedItems containsSemiMixedTypes="0" containsString="0" containsNumber="1" minValue="0.50958904109589043" maxValue="19.610958904109587"/>
    </cacheField>
    <cacheField name="5.11.1. Número atual de cabeças no rebanho: Vaca em lactação" numFmtId="0">
      <sharedItems containsSemiMixedTypes="0" containsString="0" containsNumber="1" containsInteger="1" minValue="5" maxValue="400"/>
    </cacheField>
    <cacheField name="5.11.1. Número atual de cabeças no rebanho: Vaca seca" numFmtId="0">
      <sharedItems containsSemiMixedTypes="0" containsString="0" containsNumber="1" containsInteger="1" minValue="2" maxValue="80"/>
    </cacheField>
    <cacheField name="5.11.1. Número atual de cabeças no rebanho: Bezerra em aleitamento" numFmtId="0">
      <sharedItems containsSemiMixedTypes="0" containsString="0" containsNumber="1" containsInteger="1" minValue="0" maxValue="70"/>
    </cacheField>
    <cacheField name="5.11.1. Número atual de cabeças no rebanho: Bezerro em aleitamento" numFmtId="0">
      <sharedItems containsSemiMixedTypes="0" containsString="0" containsNumber="1" containsInteger="1" minValue="0" maxValue="20"/>
    </cacheField>
    <cacheField name="5.11.1. Número atual de cabeças no rebanho: Novilha em recria" numFmtId="0">
      <sharedItems containsSemiMixedTypes="0" containsString="0" containsNumber="1" containsInteger="1" minValue="2" maxValue="200"/>
    </cacheField>
    <cacheField name="5.11.1. Número atual de cabeças no rebanho: Novilha em reprodução" numFmtId="0">
      <sharedItems containsSemiMixedTypes="0" containsString="0" containsNumber="1" containsInteger="1" minValue="1" maxValue="150"/>
    </cacheField>
    <cacheField name="5.11.1. Número atual de cabeças no rebanho: Garrote" numFmtId="0">
      <sharedItems containsSemiMixedTypes="0" containsString="0" containsNumber="1" containsInteger="1" minValue="0" maxValue="17"/>
    </cacheField>
    <cacheField name="5.11.1. Número atual de cabeças no rebanho: Touro" numFmtId="0">
      <sharedItems containsSemiMixedTypes="0" containsString="0" containsNumber="1" containsInteger="1" minValue="0" maxValue="18"/>
    </cacheField>
    <cacheField name="5.11.1. Número atual de cabeças no rebanho: Animal de serviço" numFmtId="0">
      <sharedItems containsSemiMixedTypes="0" containsString="0" containsNumber="1" containsInteger="1" minValue="0" maxValue="7"/>
    </cacheField>
    <cacheField name="5.11.2.a. Composição % do rebanho - Reprodutores (touro/sêmen): Menos de 1/2 HZ (azebuado) (%)" numFmtId="0">
      <sharedItems containsSemiMixedTypes="0" containsString="0" containsNumber="1" containsInteger="1" minValue="0" maxValue="1"/>
    </cacheField>
    <cacheField name="5.11.2.a. Composição % do rebanho - Reprodutores (touro/sêmen): De 1/2 a 3/4 HZ (%)" numFmtId="0">
      <sharedItems containsSemiMixedTypes="0" containsString="0" containsNumber="1" containsInteger="1" minValue="0" maxValue="100"/>
    </cacheField>
    <cacheField name="5.11.2.a. Composição % do rebanho - Reprodutores (touro/sêmen): De 3/4 a 7/8 HZ (%)" numFmtId="0">
      <sharedItems containsSemiMixedTypes="0" containsString="0" containsNumber="1" containsInteger="1" minValue="0" maxValue="95"/>
    </cacheField>
    <cacheField name="5.11.2.a. Composição % do rebanho - Reprodutores (touro/sêmen): De 7/8 HZ a puro holandês (%)" numFmtId="0">
      <sharedItems containsSemiMixedTypes="0" containsString="0" containsNumber="1" containsInteger="1" minValue="0" maxValue="100"/>
    </cacheField>
    <cacheField name="5.11.2.a. Composição % do rebanho - Reprodutores (touro/sêmen): Puro holandês (%)" numFmtId="0">
      <sharedItems containsSemiMixedTypes="0" containsString="0" containsNumber="1" containsInteger="1" minValue="0" maxValue="100"/>
    </cacheField>
    <cacheField name="5.11.2.a. Composição % do rebanho - Reprodutores (touro/sêmen): Puro outras raças europeias (%)" numFmtId="0">
      <sharedItems containsSemiMixedTypes="0" containsString="0" containsNumber="1" containsInteger="1" minValue="0" maxValue="0"/>
    </cacheField>
    <cacheField name="5.11.2.a. Composição % do rebanho - Reprodutores (touro/sêmen): Puro raças zebuínas (%)" numFmtId="0">
      <sharedItems containsSemiMixedTypes="0" containsString="0" containsNumber="1" containsInteger="1" minValue="0" maxValue="100"/>
    </cacheField>
    <cacheField name="5.11.2.a. Composição % do rebanho - Reprodutores (touro/sêmen): Sem padrão definido (%)" numFmtId="0">
      <sharedItems containsSemiMixedTypes="0" containsString="0" containsNumber="1" containsInteger="1" minValue="0" maxValue="0"/>
    </cacheField>
    <cacheField name="5.11.2.b. Composição % do rebanho - Vacas (lactação + secas): Menos de 1/2 HZ (azebuado) (%)" numFmtId="0">
      <sharedItems containsSemiMixedTypes="0" containsString="0" containsNumber="1" containsInteger="1" minValue="0" maxValue="80"/>
    </cacheField>
    <cacheField name="5.11.2.b. Composição % do rebanho - Vacas (lactação + secas): De 1/2 a 3/4 HZ (%)" numFmtId="0">
      <sharedItems containsSemiMixedTypes="0" containsString="0" containsNumber="1" containsInteger="1" minValue="0" maxValue="80"/>
    </cacheField>
    <cacheField name="5.11.2.b. Composição % do rebanho - Vacas (lactação + secas): De 3/4 a 7/8 HZ (%)" numFmtId="0">
      <sharedItems containsSemiMixedTypes="0" containsString="0" containsNumber="1" containsInteger="1" minValue="0" maxValue="100"/>
    </cacheField>
    <cacheField name="5.11.2.b. Composição % do rebanho - Vacas (lactação + secas): De 7/8 HZ a puro holandês (%)" numFmtId="0">
      <sharedItems containsSemiMixedTypes="0" containsString="0" containsNumber="1" containsInteger="1" minValue="0" maxValue="100"/>
    </cacheField>
    <cacheField name="5.11.2.b. Composição % do rebanho - Vacas (lactação + secas): Puro holandês (%)" numFmtId="0">
      <sharedItems containsSemiMixedTypes="0" containsString="0" containsNumber="1" containsInteger="1" minValue="0" maxValue="100"/>
    </cacheField>
    <cacheField name="5.11.2.b. Composição % do rebanho - Vacas (lactação + secas): Puro outras raças europeias (%)" numFmtId="0">
      <sharedItems containsSemiMixedTypes="0" containsString="0" containsNumber="1" containsInteger="1" minValue="0" maxValue="0"/>
    </cacheField>
    <cacheField name="5.11.2.b. Composição % do rebanho - Vacas (lactação + secas): Puro raças zebuínas (%)" numFmtId="0">
      <sharedItems containsSemiMixedTypes="0" containsString="0" containsNumber="1" containsInteger="1" minValue="0" maxValue="10"/>
    </cacheField>
    <cacheField name="5.11.2.b. Composição % do rebanho - Vacas (lactação + secas): Sem padrão definido (%)" numFmtId="0">
      <sharedItems containsSemiMixedTypes="0" containsString="0" containsNumber="1" containsInteger="1" minValue="0" maxValue="10"/>
    </cacheField>
    <cacheField name="6.1. Como é feito o resfriamento do leite na fazenda?" numFmtId="0">
      <sharedItems count="2">
        <s v="Tanque de expansão"/>
        <s v="Leite não é resfriado na fazenda"/>
      </sharedItems>
    </cacheField>
    <cacheField name="6.4. Tem fonte de água no curral?" numFmtId="0">
      <sharedItems count="2">
        <s v="Sim"/>
        <s v="Não"/>
      </sharedItems>
    </cacheField>
    <cacheField name="6.5. Tem cobertura no curral?" numFmtId="0">
      <sharedItems count="1">
        <s v="Sim"/>
      </sharedItems>
    </cacheField>
    <cacheField name="6.6. Estrutura do local de ordenha:" numFmtId="0">
      <sharedItems count="2">
        <s v="Sala de ordenha com fosso"/>
        <s v="Sala de ordenha cimentada ou calçada"/>
      </sharedItems>
    </cacheField>
    <cacheField name="6.7. Tem fonte de água no local de ordenha?" numFmtId="0">
      <sharedItems count="1">
        <s v="Sim"/>
      </sharedItems>
    </cacheField>
    <cacheField name="6.8. A Sala de ordenha é coberta?" numFmtId="0">
      <sharedItems count="1">
        <s v="Sim"/>
      </sharedItems>
    </cacheField>
    <cacheField name="6.9. Tipo de ordenha:" numFmtId="0">
      <sharedItems count="1">
        <s v="Mecânica"/>
      </sharedItems>
    </cacheField>
    <cacheField name="6.10. Número de ordenhas nas águas" numFmtId="0">
      <sharedItems containsSemiMixedTypes="0" containsString="0" containsNumber="1" containsInteger="1" minValue="2" maxValue="3"/>
    </cacheField>
    <cacheField name="6.10. Número de ordenhas na seca" numFmtId="0">
      <sharedItems containsSemiMixedTypes="0" containsString="0" containsNumber="1" containsInteger="1" minValue="2" maxValue="3"/>
    </cacheField>
    <cacheField name="6.12. O leite é enviado ao laticínio:" numFmtId="0">
      <sharedItems/>
    </cacheField>
    <cacheField name="6.15. Tipo de pastagem na propriedade rural:" numFmtId="0">
      <sharedItems count="3">
        <s v="Mista"/>
        <s v="Plantada"/>
        <s v="Não tem pastagem"/>
      </sharedItems>
    </cacheField>
    <cacheField name="6.16. Tipo de pastagem plantada na propriedade rural: (Pode marcar mais de uma opção)" numFmtId="0">
      <sharedItems/>
    </cacheField>
    <cacheField name="Brachiaria" numFmtId="0">
      <sharedItems containsBlank="1"/>
    </cacheField>
    <cacheField name="Panicum" numFmtId="0">
      <sharedItems containsBlank="1"/>
    </cacheField>
    <cacheField name="Capim-elefante" numFmtId="0">
      <sharedItems containsBlank="1"/>
    </cacheField>
    <cacheField name="Colonião" numFmtId="0">
      <sharedItems containsNonDate="0" containsString="0" containsBlank="1"/>
    </cacheField>
    <cacheField name="Jaraguá" numFmtId="0">
      <sharedItems containsNonDate="0" containsString="0" containsBlank="1"/>
    </cacheField>
    <cacheField name="Andropogon" numFmtId="0">
      <sharedItems containsNonDate="0" containsString="0" containsBlank="1"/>
    </cacheField>
    <cacheField name="Cynodon" numFmtId="0">
      <sharedItems containsBlank="1"/>
    </cacheField>
    <cacheField name="Tifton" numFmtId="0">
      <sharedItems containsBlank="1"/>
    </cacheField>
    <cacheField name="Não tem pastagem plantada" numFmtId="0">
      <sharedItems containsBlank="1"/>
    </cacheField>
    <cacheField name="6.17. Quais dessas práticas são utilizadas nas pastagens? (Pode marcar mais de uma opção)" numFmtId="0">
      <sharedItems/>
    </cacheField>
    <cacheField name="Correção e adubação do solo na implantação" numFmtId="0">
      <sharedItems containsBlank="1"/>
    </cacheField>
    <cacheField name="Adubação anual de cobertura " numFmtId="0">
      <sharedItems containsNonDate="0" containsString="0" containsBlank="1"/>
    </cacheField>
    <cacheField name="Controle de plantas invasoras " numFmtId="0">
      <sharedItems containsNonDate="0" containsString="0" containsBlank="1"/>
    </cacheField>
    <cacheField name="Rotação de pastagens" numFmtId="0">
      <sharedItems containsBlank="1"/>
    </cacheField>
    <cacheField name="Divisão em piquetes" numFmtId="0">
      <sharedItems containsBlank="1"/>
    </cacheField>
    <cacheField name="Cerca elétrica nos piquetes" numFmtId="0">
      <sharedItems containsBlank="1"/>
    </cacheField>
    <cacheField name="Nenhuma das anteriores" numFmtId="0">
      <sharedItems containsBlank="1"/>
    </cacheField>
    <cacheField name="Não utiliza pastagens" numFmtId="0">
      <sharedItems containsBlank="1"/>
    </cacheField>
    <cacheField name="7.1. Quem faz a administração/direção da atividade leiteira?" numFmtId="0">
      <sharedItems count="3">
        <s v="Proprietário(a) e família"/>
        <s v="Administrador(a) e proprietário(a)"/>
        <s v="Apenas o(a) proprietário(a)"/>
      </sharedItems>
    </cacheField>
    <cacheField name="7.2. Quais metas anuais são estabelecidas para a atividade leiteira? (Pode marcar mais de uma opção)" numFmtId="0">
      <sharedItems/>
    </cacheField>
    <cacheField name="Produção de leite" numFmtId="0">
      <sharedItems containsBlank="1"/>
    </cacheField>
    <cacheField name="Produtividade" numFmtId="0">
      <sharedItems containsBlank="1"/>
    </cacheField>
    <cacheField name="Receitas" numFmtId="0">
      <sharedItems containsBlank="1"/>
    </cacheField>
    <cacheField name="Despesas" numFmtId="0">
      <sharedItems containsBlank="1"/>
    </cacheField>
    <cacheField name="Venda de genética" numFmtId="0">
      <sharedItems containsBlank="1"/>
    </cacheField>
    <cacheField name="Venda de animais" numFmtId="0">
      <sharedItems containsBlank="1"/>
    </cacheField>
    <cacheField name="Não estabelece metas" numFmtId="0">
      <sharedItems containsBlank="1"/>
    </cacheField>
    <cacheField name="7.4. Realização de controle financeiro da produção:" numFmtId="0">
      <sharedItems count="2">
        <s v="Utiliza os indicadores econômicos de forma sistemática para tomada de decisão"/>
        <s v="Acompanha o fluxo de caixa e calcula periodicamente custos de produção e margens"/>
      </sharedItems>
    </cacheField>
    <cacheField name="7.5. Sabe qual o custo médio da sua produção de leite?" numFmtId="0">
      <sharedItems count="2">
        <s v="Sim"/>
        <s v="Não"/>
      </sharedItems>
    </cacheField>
    <cacheField name="7.6. Se sim, qual o valor médio anual do seu custo de produção? (R$/litro)" numFmtId="0">
      <sharedItems containsString="0" containsBlank="1" containsNumber="1" minValue="1.8" maxValue="2.75"/>
    </cacheField>
    <cacheField name="8.1. Quais as principais fontes de informações sobre gado de leite? (Marque no máximo 3 alternativas)" numFmtId="0">
      <sharedItems/>
    </cacheField>
    <cacheField name="Assistência técnica" numFmtId="0">
      <sharedItems/>
    </cacheField>
    <cacheField name="Vizinho, amigo ou parente" numFmtId="0">
      <sharedItems containsBlank="1"/>
    </cacheField>
    <cacheField name="Treinamento (curso, palestra, etc.)" numFmtId="0">
      <sharedItems containsBlank="1"/>
    </cacheField>
    <cacheField name="Jornais e revistas agropecuários" numFmtId="0">
      <sharedItems containsBlank="1"/>
    </cacheField>
    <cacheField name="Programas de TV" numFmtId="0">
      <sharedItems containsNonDate="0" containsString="0" containsBlank="1"/>
    </cacheField>
    <cacheField name="Outras mídias sociais" numFmtId="0">
      <sharedItems containsBlank="1"/>
    </cacheField>
    <cacheField name="8.4. Nos últimos 12 meses, quantas vezes um técnico visitou sua propriedade para orientá-lo(a) sobre a produção de leite? (visitas/ano)" numFmtId="0">
      <sharedItems containsSemiMixedTypes="0" containsString="0" containsNumber="1" containsInteger="1" minValue="5" maxValue="216"/>
    </cacheField>
    <cacheField name="8.6. Quais informações sobre a produção de leite mais recebeu? (Marque no máximo 3 alternativas)" numFmtId="0">
      <sharedItems/>
    </cacheField>
    <cacheField name="Planejamento da empresa rural" numFmtId="0">
      <sharedItems containsBlank="1"/>
    </cacheField>
    <cacheField name="Cálculo do custo de produção" numFmtId="0">
      <sharedItems containsBlank="1"/>
    </cacheField>
    <cacheField name="Mercado do leite" numFmtId="0">
      <sharedItems containsBlank="1"/>
    </cacheField>
    <cacheField name="Alimentação do rebanho2" numFmtId="0">
      <sharedItems containsBlank="1"/>
    </cacheField>
    <cacheField name="Sanidade do rebanho2" numFmtId="0">
      <sharedItems containsBlank="1"/>
    </cacheField>
    <cacheField name="Manejo do rebanho2" numFmtId="0">
      <sharedItems containsBlank="1"/>
    </cacheField>
    <cacheField name="Melhoramento genético" numFmtId="0">
      <sharedItems containsBlank="1"/>
    </cacheField>
    <cacheField name="Gerenciamento da produção" numFmtId="0">
      <sharedItems containsBlank="1"/>
    </cacheField>
    <cacheField name="Produção de leite e meio ambiente" numFmtId="0">
      <sharedItems containsNonDate="0" containsString="0" containsBlank="1"/>
    </cacheField>
    <cacheField name="Qualidade do leite" numFmtId="0">
      <sharedItems containsBlank="1"/>
    </cacheField>
    <cacheField name="Não sabe4" numFmtId="0">
      <sharedItems containsNonDate="0" containsString="0" containsBlank="1"/>
    </cacheField>
    <cacheField name="8.7. Quais informações sobre a produção de leite tem mais carência? (Marque no máximo 3 alternativas)" numFmtId="0">
      <sharedItems/>
    </cacheField>
    <cacheField name="Planejamento da empresa rural2" numFmtId="0">
      <sharedItems containsBlank="1"/>
    </cacheField>
    <cacheField name="Cálculo do custo de produção2" numFmtId="0">
      <sharedItems containsBlank="1"/>
    </cacheField>
    <cacheField name="Mercado do leite2" numFmtId="0">
      <sharedItems containsBlank="1"/>
    </cacheField>
    <cacheField name="Alimentação do rebanho3" numFmtId="0">
      <sharedItems containsNonDate="0" containsString="0" containsBlank="1"/>
    </cacheField>
    <cacheField name="Sanidade do rebanho3" numFmtId="0">
      <sharedItems containsBlank="1"/>
    </cacheField>
    <cacheField name="Manejo do rebanho3" numFmtId="0">
      <sharedItems containsNonDate="0" containsString="0" containsBlank="1"/>
    </cacheField>
    <cacheField name="Melhoramento genético2" numFmtId="0">
      <sharedItems containsBlank="1"/>
    </cacheField>
    <cacheField name="Gerenciamento da produção2" numFmtId="0">
      <sharedItems containsBlank="1"/>
    </cacheField>
    <cacheField name="Produção de leite e meio ambiente2" numFmtId="0">
      <sharedItems containsBlank="1"/>
    </cacheField>
    <cacheField name="Qualidade do leite2" numFmtId="0">
      <sharedItems containsBlank="1"/>
    </cacheField>
    <cacheField name="Não sabe5" numFmtId="0">
      <sharedItems containsBlank="1"/>
    </cacheField>
    <cacheField name="9.1. Distribuição % aproximada das vacas em lactação em cada tipo de sistema: Freestall (%)" numFmtId="0">
      <sharedItems containsSemiMixedTypes="0" containsString="0" containsNumber="1" containsInteger="1" minValue="0" maxValue="60"/>
    </cacheField>
    <cacheField name="9.1. Distribuição % aproximada das vacas em lactação em cada tipo de sistema: Compost Barn (%)" numFmtId="0">
      <sharedItems containsSemiMixedTypes="0" containsString="0" containsNumber="1" containsInteger="1" minValue="0" maxValue="100"/>
    </cacheField>
    <cacheField name="9.1. Distribuição % aproximada das vacas em lactação em cada tipo de sistema: Semiconfinado (%)" numFmtId="0">
      <sharedItems containsSemiMixedTypes="0" containsString="0" containsNumber="1" containsInteger="1" minValue="0" maxValue="100"/>
    </cacheField>
    <cacheField name="9.1. Distribuição % aproximada das vacas em lactação em cada tipo de sistema: Piquete rotacionado (%)" numFmtId="0">
      <sharedItems containsSemiMixedTypes="0" containsString="0" containsNumber="1" containsInteger="1" minValue="0" maxValue="100"/>
    </cacheField>
    <cacheField name="9.1. Distribuição % aproximada das vacas em lactação em cada tipo de sistema: Pasto extensivo (%)" numFmtId="0">
      <sharedItems containsSemiMixedTypes="0" containsString="0" containsNumber="1" containsInteger="1" minValue="0" maxValue="65"/>
    </cacheField>
    <cacheField name="9.2. Utiliza técnicas para conforto dos animais? (Pode marcar mais de uma opção)" numFmtId="0">
      <sharedItems/>
    </cacheField>
    <cacheField name="Galpão coberto" numFmtId="0">
      <sharedItems containsBlank="1"/>
    </cacheField>
    <cacheField name="Sombrite ou tela de sombreamento" numFmtId="0">
      <sharedItems containsBlank="1"/>
    </cacheField>
    <cacheField name="Cobertura vegetal (árvores, sombra natural)" numFmtId="0">
      <sharedItems containsBlank="1"/>
    </cacheField>
    <cacheField name="Exaustores" numFmtId="0">
      <sharedItems containsBlank="1"/>
    </cacheField>
    <cacheField name="Ventiladores mecânicos" numFmtId="0">
      <sharedItems containsBlank="1"/>
    </cacheField>
    <cacheField name="Aspersores ou nebulizadores " numFmtId="0">
      <sharedItems containsNonDate="0" containsString="0" containsBlank="1"/>
    </cacheField>
    <cacheField name="Sistema de resfriamento evaporativo" numFmtId="0">
      <sharedItems containsBlank="1"/>
    </cacheField>
    <cacheField name="Bebedouros" numFmtId="0">
      <sharedItems containsBlank="1"/>
    </cacheField>
    <cacheField name="Controle automatizado de temperatura/umidade" numFmtId="0">
      <sharedItems containsBlank="1"/>
    </cacheField>
    <cacheField name="Piso emborrachado ou drenante nas áreas de espera" numFmtId="0">
      <sharedItems containsBlank="1"/>
    </cacheField>
    <cacheField name="9.3. Possui energia elétrica na propriedade?" numFmtId="0">
      <sharedItems count="1">
        <s v="Residência e locais de produção"/>
      </sharedItems>
    </cacheField>
    <cacheField name="9.4. Possui internet na propriedade?" numFmtId="0">
      <sharedItems count="3">
        <s v="Em toda fazenda"/>
        <s v="Somente na residência"/>
        <s v="Não tem acesso à internet"/>
      </sharedItems>
    </cacheField>
    <cacheField name="9.7. Quais desses equipamentos próprios são utilizados na produção de leite: (Pode marcar mais de uma opção)" numFmtId="0">
      <sharedItems/>
    </cacheField>
    <cacheField name="Picadeira" numFmtId="0">
      <sharedItems containsBlank="1"/>
    </cacheField>
    <cacheField name="Balança para os animais" numFmtId="0">
      <sharedItems containsBlank="1"/>
    </cacheField>
    <cacheField name="Trator" numFmtId="0">
      <sharedItems containsBlank="1"/>
    </cacheField>
    <cacheField name="Vagão forrageiro" numFmtId="0">
      <sharedItems containsBlank="1"/>
    </cacheField>
    <cacheField name="Plantadeira" numFmtId="0">
      <sharedItems containsBlank="1"/>
    </cacheField>
    <cacheField name="Grade" numFmtId="0">
      <sharedItems containsBlank="1"/>
    </cacheField>
    <cacheField name="Arado" numFmtId="0">
      <sharedItems containsBlank="1"/>
    </cacheField>
    <cacheField name="Ensiladeira" numFmtId="0">
      <sharedItems containsBlank="1"/>
    </cacheField>
    <cacheField name="Distribuidor de calcário" numFmtId="0">
      <sharedItems containsBlank="1"/>
    </cacheField>
    <cacheField name="Misturador de ração" numFmtId="0">
      <sharedItems containsBlank="1"/>
    </cacheField>
    <cacheField name="9.8. Qual o destino de dejetos líquidos e sólidos? (Pode marcar mais de uma opção)" numFmtId="0">
      <sharedItems count="4">
        <s v="Chorumeira"/>
        <s v="“Raspado” e/ou armazenado"/>
        <s v="Não tem destino certo"/>
        <s v="Composteira"/>
      </sharedItems>
    </cacheField>
    <cacheField name="9.9. Quais dessas técnicas sustentáveis são utilizadas? (Pode marcar mais de uma opção)" numFmtId="0">
      <sharedItems/>
    </cacheField>
    <cacheField name="Plantio direto" numFmtId="0">
      <sharedItems containsBlank="1"/>
    </cacheField>
    <cacheField name="Cobertura do solo" numFmtId="0">
      <sharedItems containsBlank="1"/>
    </cacheField>
    <cacheField name="Descarte adequado de embalagens (herbicida e defensivos)" numFmtId="0">
      <sharedItems containsBlank="1"/>
    </cacheField>
    <cacheField name="Tratamento de efluentes da residência" numFmtId="0">
      <sharedItems containsBlank="1"/>
    </cacheField>
    <cacheField name="Rotação de culturas" numFmtId="0">
      <sharedItems containsBlank="1"/>
    </cacheField>
    <cacheField name="10.1. Idade média que desfaz dos machos (meses)" numFmtId="0">
      <sharedItems containsSemiMixedTypes="0" containsString="0" containsNumber="1" minValue="0" maxValue="24"/>
    </cacheField>
    <cacheField name="10.2. Idade média de desmama dos bezerros(as) (meses)" numFmtId="0">
      <sharedItems containsSemiMixedTypes="0" containsString="0" containsNumber="1" minValue="2" maxValue="3"/>
    </cacheField>
    <cacheField name="10.3. Peso médio ao desmame dos bezerros(as) (Kg)" numFmtId="0">
      <sharedItems containsSemiMixedTypes="0" containsString="0" containsNumber="1" containsInteger="1" minValue="80" maxValue="120"/>
    </cacheField>
    <cacheField name="10.4. Idade média das novilhas ao primeiro parto (meses)" numFmtId="0">
      <sharedItems containsSemiMixedTypes="0" containsString="0" containsNumber="1" minValue="19" maxValue="32"/>
    </cacheField>
    <cacheField name="10.5. Intervalo entre partos médio (meses)" numFmtId="0">
      <sharedItems containsSemiMixedTypes="0" containsString="0" containsNumber="1" minValue="9.5" maxValue="419"/>
    </cacheField>
    <cacheField name="10.6. Taxa de mortalidade média de bezerros (%)" numFmtId="0">
      <sharedItems containsSemiMixedTypes="0" containsString="0" containsNumber="1" minValue="0" maxValue="15"/>
    </cacheField>
    <cacheField name="10.7. Taxa de mortalidade média de animais adultos (%)" numFmtId="0">
      <sharedItems containsSemiMixedTypes="0" containsString="0" containsNumber="1" minValue="0" maxValue="11.5"/>
    </cacheField>
    <cacheField name="10.9. Quais critérios sanitários contra enfermidades são aplicados ao rebanho: (Pode marcar mais de uma opção)" numFmtId="0">
      <sharedItems/>
    </cacheField>
    <cacheField name="Manqueira" numFmtId="0">
      <sharedItems containsBlank="1"/>
    </cacheField>
    <cacheField name="Brucelose" numFmtId="0">
      <sharedItems/>
    </cacheField>
    <cacheField name="Paratifo" numFmtId="0">
      <sharedItems containsBlank="1"/>
    </cacheField>
    <cacheField name="Raiva" numFmtId="0">
      <sharedItems/>
    </cacheField>
    <cacheField name="Enterotoxemia" numFmtId="0">
      <sharedItems containsBlank="1"/>
    </cacheField>
    <cacheField name="Botulismo" numFmtId="0">
      <sharedItems containsBlank="1"/>
    </cacheField>
    <cacheField name="Vermifugação" numFmtId="0">
      <sharedItems/>
    </cacheField>
    <cacheField name="Carrapaticida" numFmtId="0">
      <sharedItems containsBlank="1"/>
    </cacheField>
    <cacheField name="IBR/BVD" numFmtId="0">
      <sharedItems containsBlank="1"/>
    </cacheField>
    <cacheField name="Leptospirose" numFmtId="0">
      <sharedItems/>
    </cacheField>
    <cacheField name="10.10. Técnicas utilizadas no manejo de ordenha: (Pode marcar mais de uma opção)" numFmtId="0">
      <sharedItems/>
    </cacheField>
    <cacheField name="Teste da caneca" numFmtId="0">
      <sharedItems containsBlank="1"/>
    </cacheField>
    <cacheField name="Pré-dipping" numFmtId="0">
      <sharedItems/>
    </cacheField>
    <cacheField name="Pós-dipping" numFmtId="0">
      <sharedItems/>
    </cacheField>
    <cacheField name="Linha de ordenha" numFmtId="0">
      <sharedItems containsBlank="1"/>
    </cacheField>
    <cacheField name="Alimentação durante a ordenha" numFmtId="0">
      <sharedItems containsBlank="1"/>
    </cacheField>
    <cacheField name="Alimentação após a ordenha" numFmtId="0">
      <sharedItems containsBlank="1"/>
    </cacheField>
    <cacheField name="Identificação de animais tratados com antibiótico" numFmtId="0">
      <sharedItems containsBlank="1"/>
    </cacheField>
    <cacheField name="10.11. Sistema de reprodução: (Pode marcar mais de uma opção)" numFmtId="0">
      <sharedItems/>
    </cacheField>
    <cacheField name="FIV/TE" numFmtId="0">
      <sharedItems containsBlank="1"/>
    </cacheField>
    <cacheField name="Inseminação artificial/IATF" numFmtId="0">
      <sharedItems containsBlank="1"/>
    </cacheField>
    <cacheField name="Natural controlada" numFmtId="0">
      <sharedItems containsBlank="1"/>
    </cacheField>
    <cacheField name="Natural não controlada" numFmtId="0">
      <sharedItems containsBlank="1"/>
    </cacheField>
    <cacheField name="10.12. Tipo de aleitamento:" numFmtId="0">
      <sharedItems count="2">
        <s v="Artificial"/>
        <s v="Natural"/>
      </sharedItems>
    </cacheField>
    <cacheField name="10.13. Critério para primeira cobertura:" numFmtId="0">
      <sharedItems count="4">
        <s v="Idade e peso das novilhas"/>
        <s v="Peso das novilhas"/>
        <s v="Não tem critério definido"/>
        <s v="Idade das novilhas"/>
      </sharedItems>
    </cacheField>
    <cacheField name="10.14. Frequência de uso do concentrado para vacas em lactação:" numFmtId="0">
      <sharedItems/>
    </cacheField>
    <cacheField name="10.15. Quando usa concentrado ele é distribuído de acordo com a produção das vacas?" numFmtId="0">
      <sharedItems/>
    </cacheField>
    <cacheField name="10.16. Tipo de suplementação volumosa utilizado: (Pode marcar mais de uma opção)" numFmtId="0">
      <sharedItems/>
    </cacheField>
    <cacheField name="Cana-de-açúcar" numFmtId="0">
      <sharedItems containsBlank="1"/>
    </cacheField>
    <cacheField name="Capineira" numFmtId="0">
      <sharedItems containsBlank="1"/>
    </cacheField>
    <cacheField name="Silagem de capim" numFmtId="0">
      <sharedItems containsBlank="1"/>
    </cacheField>
    <cacheField name="Silagem de milho" numFmtId="0">
      <sharedItems containsBlank="1"/>
    </cacheField>
    <cacheField name="Silagem de sorgo" numFmtId="0">
      <sharedItems containsBlank="1"/>
    </cacheField>
    <cacheField name="Outra silagem" numFmtId="0">
      <sharedItems containsNonDate="0" containsString="0" containsBlank="1"/>
    </cacheField>
    <cacheField name="Feno " numFmtId="0">
      <sharedItems containsNonDate="0" containsString="0" containsBlank="1"/>
    </cacheField>
    <cacheField name="Palma" numFmtId="0">
      <sharedItems containsNonDate="0" containsString="0" containsBlank="1"/>
    </cacheField>
    <cacheField name="Não fornece suplementação" numFmtId="0">
      <sharedItems containsNonDate="0" containsString="0" containsBlank="1"/>
    </cacheField>
    <cacheField name="11.2. Há quanto tempo vende para o mesmo comprador? (anos)" numFmtId="0">
      <sharedItems containsSemiMixedTypes="0" containsString="0" containsNumber="1" minValue="0.2" maxValue="40"/>
    </cacheField>
    <cacheField name="11.3. Preço recebido no último mês? (R$/litro)" numFmtId="0">
      <sharedItems containsSemiMixedTypes="0" containsString="0" containsNumber="1" minValue="2.4500000000000002" maxValue="3.25"/>
    </cacheField>
    <cacheField name="11.4. Preço médio recebido nas águas? (R$/litro)" numFmtId="0">
      <sharedItems containsSemiMixedTypes="0" containsString="0" containsNumber="1" minValue="1.8" maxValue="3"/>
    </cacheField>
    <cacheField name="11.5. Preço médio recebido na seca? (R$/litro)" numFmtId="0">
      <sharedItems containsSemiMixedTypes="0" containsString="0" containsNumber="1" minValue="2.5" maxValue="3.3"/>
    </cacheField>
    <cacheField name="11.7. Quais bonificações são realizadas pelo laticínio que compra seu leite: (Pode marcar mais de uma opção)" numFmtId="0">
      <sharedItems containsBlank="1"/>
    </cacheField>
    <cacheField name="Volume de leite entregue" numFmtId="0">
      <sharedItems containsBlank="1"/>
    </cacheField>
    <cacheField name="Nível de CCS" numFmtId="0">
      <sharedItems containsBlank="1"/>
    </cacheField>
    <cacheField name="Nível de CBT" numFmtId="0">
      <sharedItems containsBlank="1"/>
    </cacheField>
    <cacheField name="Teor de gordura" numFmtId="0">
      <sharedItems containsBlank="1"/>
    </cacheField>
    <cacheField name="Teor de proteína" numFmtId="0">
      <sharedItems containsBlank="1"/>
    </cacheField>
    <cacheField name="Critérios de sustentabilidade e BPA" numFmtId="0">
      <sharedItems containsBlank="1"/>
    </cacheField>
    <cacheField name="Não sabe6" numFmtId="0">
      <sharedItems containsBlank="1"/>
    </cacheField>
    <cacheField name="11.8. Qual sua opinião sobre o sistema de pagamento com bonificação? [Por volume de leite]" numFmtId="0">
      <sharedItems count="3">
        <s v="Concorda"/>
        <s v="Não concorda"/>
        <s v="Não sabe"/>
      </sharedItems>
    </cacheField>
    <cacheField name="11.8. Qual sua opinião sobre o sistema de pagamento com bonificação? [Por qualidade do leite]" numFmtId="0">
      <sharedItems count="1">
        <s v="Concorda"/>
      </sharedItems>
    </cacheField>
    <cacheField name="11.8. Qual sua opinião sobre o sistema de pagamento com bonificação? [Por critérios de sustentabilidade]" numFmtId="0">
      <sharedItems count="2">
        <s v="Concorda"/>
        <s v="Não concorda"/>
      </sharedItems>
    </cacheField>
    <cacheField name="11.9. Tem contrato formal com o laticínio que compra seu leite?" numFmtId="0">
      <sharedItems count="2">
        <s v="Sim"/>
        <s v="Não"/>
      </sharedItems>
    </cacheField>
    <cacheField name="11.10. Como avalia a importância de um contrato formal com o laticínio?" numFmtId="0">
      <sharedItems count="4">
        <s v="Muito importante"/>
        <s v="Pouco importante"/>
        <s v="Não é importante"/>
        <s v="Não sabe"/>
      </sharedItems>
    </cacheField>
  </cacheFields>
  <extLst>
    <ext xmlns:x14="http://schemas.microsoft.com/office/spreadsheetml/2009/9/main" uri="{725AE2AE-9491-48be-B2B4-4EB974FC3084}">
      <x14:pivotCacheDefinition pivotCacheId="4573549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m/>
    <x v="0"/>
    <x v="0"/>
    <x v="0"/>
    <x v="0"/>
    <x v="0"/>
    <s v="Alvenaria"/>
    <s v="Alvenaria"/>
    <s v="Alvenaria"/>
    <s v="CAR - Cadastro Ambiental Rural, Cursos d’água/riacho/nascentes/mina, Área de preservação permanentes, Área de reserva legal, Serviço de telefonia"/>
    <s v="Sim"/>
    <s v="Sim"/>
    <m/>
    <s v="Sim"/>
    <s v="Sim"/>
    <m/>
    <m/>
    <s v="Sim"/>
    <n v="65"/>
    <n v="34"/>
    <x v="0"/>
    <x v="0"/>
    <x v="0"/>
    <n v="100"/>
    <n v="0"/>
    <n v="0"/>
    <n v="0"/>
    <n v="0"/>
    <n v="0"/>
    <n v="0"/>
    <n v="100"/>
    <n v="0"/>
    <n v="0"/>
    <n v="0"/>
    <x v="0"/>
    <n v="10"/>
    <n v="0"/>
    <n v="0"/>
    <n v="70"/>
    <n v="20"/>
    <n v="95"/>
    <n v="5"/>
    <n v="0"/>
    <s v="Aposentadoria"/>
    <m/>
    <s v="Sim"/>
    <m/>
    <m/>
    <m/>
    <m/>
    <m/>
    <m/>
    <m/>
    <m/>
    <x v="0"/>
    <x v="0"/>
    <s v="Por gostar"/>
    <s v="Sim"/>
    <m/>
    <m/>
    <m/>
    <m/>
    <m/>
    <m/>
    <m/>
    <m/>
    <s v="Falta de crédito rural, com taxas de juros compatíveis com a atividade, Instabilidade de políticas públicas, Legislação trabalhista"/>
    <m/>
    <m/>
    <s v="Sim"/>
    <m/>
    <m/>
    <m/>
    <m/>
    <s v="Sim"/>
    <m/>
    <s v="Sim"/>
    <m/>
    <m/>
    <s v="Qualidade genética dos animais, Alimentação do rebanho, Reprodução do rebanho"/>
    <m/>
    <m/>
    <s v="Sim"/>
    <s v="Sim"/>
    <m/>
    <s v="Sim"/>
    <m/>
    <m/>
    <m/>
    <x v="0"/>
    <x v="0"/>
    <x v="0"/>
    <s v="PRONAMPE, Plano Safra"/>
    <m/>
    <m/>
    <s v="Sim"/>
    <m/>
    <s v="Sim"/>
    <m/>
    <m/>
    <s v="Utilizou crédito"/>
    <m/>
    <m/>
    <m/>
    <m/>
    <m/>
    <s v="Sim"/>
    <n v="2000"/>
    <n v="2000"/>
    <n v="2000"/>
    <n v="31"/>
    <n v="28"/>
    <n v="34"/>
    <n v="95"/>
    <n v="0"/>
    <n v="0"/>
    <n v="0.2"/>
    <n v="4.8"/>
    <n v="60"/>
    <n v="45"/>
    <x v="0"/>
    <x v="0"/>
    <x v="0"/>
    <n v="0.21369863013698631"/>
    <n v="6"/>
    <n v="6.2136986301369861"/>
    <n v="71"/>
    <n v="9"/>
    <n v="19"/>
    <n v="1"/>
    <n v="22"/>
    <n v="34"/>
    <n v="1"/>
    <n v="0"/>
    <n v="2"/>
    <n v="0"/>
    <n v="0"/>
    <n v="0"/>
    <n v="0"/>
    <n v="100"/>
    <n v="0"/>
    <n v="0"/>
    <n v="0"/>
    <n v="0"/>
    <n v="2"/>
    <n v="7"/>
    <n v="63"/>
    <n v="28"/>
    <n v="0"/>
    <n v="0"/>
    <n v="0"/>
    <x v="0"/>
    <x v="0"/>
    <x v="0"/>
    <x v="0"/>
    <x v="0"/>
    <x v="0"/>
    <x v="0"/>
    <n v="3"/>
    <n v="3"/>
    <s v="Todos os dias"/>
    <x v="0"/>
    <s v="Brachiaria, Tifton"/>
    <s v="Sim"/>
    <m/>
    <m/>
    <m/>
    <m/>
    <m/>
    <m/>
    <s v="Sim"/>
    <m/>
    <s v="Nenhuma das anteriores"/>
    <m/>
    <m/>
    <m/>
    <m/>
    <m/>
    <m/>
    <s v="Sim"/>
    <m/>
    <x v="0"/>
    <s v="Produção de leite, Produtividade"/>
    <s v="Sim"/>
    <s v="Sim"/>
    <m/>
    <m/>
    <m/>
    <m/>
    <m/>
    <x v="0"/>
    <x v="0"/>
    <n v="2.4300000000000002"/>
    <s v="Assistência técnica, Treinamento (curso, palestra, etc.), Outras mídias sociais"/>
    <s v="Sim"/>
    <m/>
    <s v="Sim"/>
    <m/>
    <m/>
    <s v="Sim"/>
    <n v="150"/>
    <s v="Alimentação do rebanho, Manejo do rebanho, Gerenciamento da produção"/>
    <m/>
    <m/>
    <m/>
    <s v="Sim"/>
    <m/>
    <s v="Sim"/>
    <m/>
    <s v="Sim"/>
    <m/>
    <m/>
    <m/>
    <s v="Cálculo do custo de produção, Mercado do leite"/>
    <m/>
    <s v="Sim"/>
    <s v="Sim"/>
    <m/>
    <m/>
    <m/>
    <m/>
    <m/>
    <m/>
    <m/>
    <m/>
    <n v="60"/>
    <n v="40"/>
    <n v="0"/>
    <n v="0"/>
    <n v="0"/>
    <s v="Galpão coberto, Ventiladores mecânicos, Aspersores ou nebulizadores, Sistema de resfriamento evaporativo, Bebedouros, Controle automatizado de temperatura/umidade"/>
    <s v="Sim"/>
    <m/>
    <m/>
    <m/>
    <s v="Sim"/>
    <m/>
    <s v="Sim"/>
    <s v="Sim"/>
    <s v="Sim"/>
    <m/>
    <x v="0"/>
    <x v="0"/>
    <s v="Balança para os animais, Trator, Vagão forrageiro, Ensiladeira, Misturador de ração"/>
    <m/>
    <s v="Sim"/>
    <s v="Sim"/>
    <s v="Sim"/>
    <m/>
    <m/>
    <m/>
    <s v="Sim"/>
    <m/>
    <s v="Sim"/>
    <x v="0"/>
    <s v="Plantio direto, Cobertura do solo, Descarte adequado de embalagens (herbicida e defensivos), Tratamento de efluentes da residência"/>
    <s v="Sim"/>
    <s v="Sim"/>
    <s v="Sim"/>
    <s v="Sim"/>
    <m/>
    <n v="1"/>
    <n v="3"/>
    <n v="110"/>
    <n v="27"/>
    <n v="16"/>
    <n v="15"/>
    <n v="10"/>
    <s v="Manqueira, Brucelose, Paratifo, Raiva, Enterotoxemia, Botulismo, Vermifugação, Carrapaticida, IBR/BVD, Leptospirose"/>
    <s v="Sim"/>
    <s v="Sim"/>
    <s v="Sim"/>
    <s v="Sim"/>
    <s v="Sim"/>
    <s v="Sim"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Inseminação artificial/IATF"/>
    <m/>
    <s v="Sim"/>
    <m/>
    <m/>
    <x v="0"/>
    <x v="0"/>
    <s v="Ano todo"/>
    <s v="Sim"/>
    <s v="Silagem de milho"/>
    <m/>
    <m/>
    <m/>
    <s v="Sim"/>
    <m/>
    <m/>
    <m/>
    <m/>
    <m/>
    <n v="5"/>
    <n v="3.07"/>
    <n v="2.77"/>
    <n v="3.15"/>
    <s v="Nível de CCS, Nível de CBT, Teor de gordura"/>
    <m/>
    <s v="Sim"/>
    <s v="Sim"/>
    <s v="Sim"/>
    <m/>
    <m/>
    <m/>
    <x v="0"/>
    <x v="0"/>
    <x v="0"/>
    <x v="0"/>
    <x v="0"/>
  </r>
  <r>
    <m/>
    <x v="0"/>
    <x v="0"/>
    <x v="0"/>
    <x v="1"/>
    <x v="0"/>
    <s v="Alvenaria"/>
    <s v="Alvenaria"/>
    <s v="Alvenaria"/>
    <s v="CAR - Cadastro Ambiental Rural, Cursos d’água/riacho/nascentes/mina, Vegetação nativa/mata/floresta, Área de preservação permanentes, Área de reserva legal, Serviço de água potável, Serviço de esgoto doméstico tratado, Serviço de telefonia"/>
    <s v="Sim"/>
    <s v="Sim"/>
    <s v="Sim"/>
    <s v="Sim"/>
    <s v="Sim"/>
    <s v="Sim"/>
    <s v="Sim"/>
    <s v="Sim"/>
    <n v="62"/>
    <n v="21"/>
    <x v="0"/>
    <x v="1"/>
    <x v="1"/>
    <n v="40"/>
    <n v="60"/>
    <n v="0"/>
    <n v="0"/>
    <n v="0"/>
    <n v="0"/>
    <n v="5"/>
    <n v="95"/>
    <n v="0"/>
    <n v="0"/>
    <n v="0"/>
    <x v="0"/>
    <n v="5"/>
    <n v="5"/>
    <n v="30"/>
    <n v="60"/>
    <n v="0"/>
    <n v="50"/>
    <n v="50"/>
    <n v="0"/>
    <s v="Aposentadoria, PRONAMPE"/>
    <m/>
    <s v="Sim"/>
    <m/>
    <s v="Sim"/>
    <m/>
    <m/>
    <m/>
    <m/>
    <m/>
    <m/>
    <x v="0"/>
    <x v="0"/>
    <s v="Por gostar, Por proporcionar renda mensal, Combina com outras explorações da propriedade"/>
    <s v="Sim"/>
    <m/>
    <s v="Sim"/>
    <m/>
    <s v="Sim"/>
    <m/>
    <m/>
    <m/>
    <m/>
    <s v="Falta de mão de obra, Custo dos insumos, Instabilidade de políticas públicas"/>
    <s v="Sim"/>
    <m/>
    <m/>
    <m/>
    <m/>
    <s v="Sim"/>
    <m/>
    <s v="Sim"/>
    <m/>
    <m/>
    <m/>
    <m/>
    <s v="Mão de obra qualificada, Sanidade do rebanho, Preço do leite"/>
    <s v="Sim"/>
    <s v="Sim"/>
    <m/>
    <m/>
    <m/>
    <m/>
    <s v="Sim"/>
    <m/>
    <m/>
    <x v="1"/>
    <x v="1"/>
    <x v="0"/>
    <s v="PRONAMPE, Plano Safra"/>
    <m/>
    <m/>
    <s v="Sim"/>
    <m/>
    <s v="Sim"/>
    <m/>
    <m/>
    <s v="Utilizou crédito"/>
    <m/>
    <m/>
    <m/>
    <m/>
    <m/>
    <s v="Sim"/>
    <n v="2500"/>
    <n v="2500"/>
    <n v="2500"/>
    <n v="19"/>
    <n v="19"/>
    <n v="19"/>
    <n v="94.5"/>
    <n v="0"/>
    <n v="0"/>
    <n v="0.5"/>
    <n v="5"/>
    <n v="170"/>
    <n v="40"/>
    <x v="0"/>
    <x v="0"/>
    <x v="1"/>
    <n v="0.73972602739726023"/>
    <n v="6"/>
    <n v="6.7397260273972606"/>
    <n v="145"/>
    <n v="52"/>
    <n v="15"/>
    <n v="6"/>
    <n v="46"/>
    <n v="114"/>
    <n v="0"/>
    <n v="0"/>
    <n v="4"/>
    <n v="0"/>
    <n v="0"/>
    <n v="40"/>
    <n v="0"/>
    <n v="60"/>
    <n v="0"/>
    <n v="0"/>
    <n v="0"/>
    <n v="0"/>
    <n v="0"/>
    <n v="25"/>
    <n v="25"/>
    <n v="50"/>
    <n v="0"/>
    <n v="0"/>
    <n v="0"/>
    <x v="0"/>
    <x v="0"/>
    <x v="0"/>
    <x v="0"/>
    <x v="0"/>
    <x v="0"/>
    <x v="0"/>
    <n v="2"/>
    <n v="2"/>
    <s v="Todos os dias"/>
    <x v="1"/>
    <s v="Brachiaria, Tifton"/>
    <s v="Sim"/>
    <m/>
    <m/>
    <m/>
    <m/>
    <m/>
    <m/>
    <s v="Sim"/>
    <m/>
    <s v="Controle de plantas invasoras, Rotação de pastagens, Divisão em piquetes, Cerca elétrica nos piquetes"/>
    <m/>
    <m/>
    <m/>
    <s v="Sim"/>
    <s v="Sim"/>
    <s v="Sim"/>
    <m/>
    <m/>
    <x v="1"/>
    <s v="Produção de leite, Produtividade, Despesas"/>
    <s v="Sim"/>
    <s v="Sim"/>
    <m/>
    <s v="Sim"/>
    <m/>
    <m/>
    <m/>
    <x v="0"/>
    <x v="0"/>
    <n v="2.4"/>
    <s v="Assistência técnica, Jornais e revistas agropecuários, Outras mídias sociais"/>
    <s v="Sim"/>
    <m/>
    <m/>
    <s v="Sim"/>
    <m/>
    <s v="Sim"/>
    <n v="216"/>
    <s v="Sanidade do rebanho, Melhoramento genético, Qualidade do leite"/>
    <m/>
    <m/>
    <m/>
    <m/>
    <s v="Sim"/>
    <m/>
    <s v="Sim"/>
    <m/>
    <m/>
    <s v="Sim"/>
    <m/>
    <s v="Mercado do leite, Produção de leite e meio ambiente"/>
    <m/>
    <m/>
    <s v="Sim"/>
    <m/>
    <m/>
    <m/>
    <m/>
    <m/>
    <s v="Sim"/>
    <m/>
    <m/>
    <n v="0"/>
    <n v="100"/>
    <n v="0"/>
    <n v="0"/>
    <n v="0"/>
    <s v="Galpão coberto, Ventiladores mecânicos, Bebedouros"/>
    <s v="Sim"/>
    <m/>
    <m/>
    <m/>
    <s v="Sim"/>
    <m/>
    <m/>
    <s v="Sim"/>
    <m/>
    <m/>
    <x v="0"/>
    <x v="0"/>
    <s v="Trator, Vagão forrageiro, Plantadeira, Grade, Ensiladeira, Distribuidor de calcário, Misturador de ração"/>
    <m/>
    <m/>
    <s v="Sim"/>
    <s v="Sim"/>
    <s v="Sim"/>
    <s v="Sim"/>
    <m/>
    <s v="Sim"/>
    <s v="Sim"/>
    <s v="Sim"/>
    <x v="0"/>
    <s v="Plantio direto, Cobertura do solo, Descarte adequado de embalagens (herbicida e defensivos), Tratamento de efluentes da residência, Rotação de culturas"/>
    <s v="Sim"/>
    <s v="Sim"/>
    <s v="Sim"/>
    <s v="Sim"/>
    <s v="Sim"/>
    <n v="1"/>
    <n v="3"/>
    <n v="100"/>
    <n v="24"/>
    <n v="12"/>
    <n v="5"/>
    <n v="2"/>
    <s v="Manqueira, Brucelose, Paratifo, Raiva, Enterotoxemia, Botulismo, Vermifugação, Carrapaticida, IBR/BVD, Leptospirose"/>
    <s v="Sim"/>
    <s v="Sim"/>
    <s v="Sim"/>
    <s v="Sim"/>
    <s v="Sim"/>
    <s v="Sim"/>
    <s v="Sim"/>
    <s v="Sim"/>
    <s v="Sim"/>
    <s v="Sim"/>
    <s v="Teste da caneca, Pré-dipping, Pós-dipping, Alimentação após a ordenha, Identificação de animais tratados com antibiótico"/>
    <s v="Sim"/>
    <s v="Sim"/>
    <s v="Sim"/>
    <m/>
    <m/>
    <s v="Sim"/>
    <s v="Sim"/>
    <s v="FIV/TE, Inseminação artificial/IATF"/>
    <s v="Sim"/>
    <s v="Sim"/>
    <m/>
    <m/>
    <x v="0"/>
    <x v="1"/>
    <s v="Ano todo"/>
    <s v="Sim"/>
    <s v="Silagem de milho"/>
    <m/>
    <m/>
    <m/>
    <s v="Sim"/>
    <m/>
    <m/>
    <m/>
    <m/>
    <m/>
    <n v="3"/>
    <n v="2.75"/>
    <n v="2.75"/>
    <n v="2.75"/>
    <s v="Volume de leite entregue, Nível de CCS, Nível de CBT, Teor de gordura, Teor de proteína"/>
    <s v="Sim"/>
    <s v="Sim"/>
    <s v="Sim"/>
    <s v="Sim"/>
    <s v="Sim"/>
    <m/>
    <m/>
    <x v="0"/>
    <x v="0"/>
    <x v="0"/>
    <x v="0"/>
    <x v="0"/>
  </r>
  <r>
    <m/>
    <x v="1"/>
    <x v="1"/>
    <x v="1"/>
    <x v="1"/>
    <x v="1"/>
    <s v="Alvenaria"/>
    <s v="Não possui"/>
    <s v="Madeira"/>
    <s v="CAR - Cadastro Ambiental Rural, Cursos d’água/riacho/nascentes/mina, Vegetação nativa/mata/floresta, Área de preservação permanentes, Área de reserva legal, Serviço de água potável, Serviço de telefonia"/>
    <s v="Sim"/>
    <s v="Sim"/>
    <s v="Sim"/>
    <s v="Sim"/>
    <s v="Sim"/>
    <s v="Sim"/>
    <m/>
    <s v="Sim"/>
    <n v="43"/>
    <n v="20"/>
    <x v="0"/>
    <x v="2"/>
    <x v="1"/>
    <n v="50"/>
    <n v="50"/>
    <n v="0"/>
    <n v="0"/>
    <n v="0"/>
    <n v="0"/>
    <n v="0"/>
    <n v="100"/>
    <n v="0"/>
    <n v="0"/>
    <n v="0"/>
    <x v="1"/>
    <n v="95"/>
    <n v="0"/>
    <n v="0"/>
    <n v="0"/>
    <n v="5"/>
    <n v="90"/>
    <n v="10"/>
    <n v="0"/>
    <s v="Bolsa família, PRONAF"/>
    <s v="Sim"/>
    <m/>
    <s v="Sim"/>
    <m/>
    <m/>
    <m/>
    <m/>
    <m/>
    <m/>
    <m/>
    <x v="0"/>
    <x v="1"/>
    <s v="Por gostar, Por proporcionar renda mensal, Emprega a família"/>
    <s v="Sim"/>
    <m/>
    <s v="Sim"/>
    <m/>
    <m/>
    <m/>
    <m/>
    <s v="Sim"/>
    <m/>
    <s v="Falta de mão de obra"/>
    <s v="Sim"/>
    <m/>
    <m/>
    <m/>
    <m/>
    <m/>
    <m/>
    <m/>
    <m/>
    <m/>
    <m/>
    <m/>
    <s v="Mão de obra qualificada, Preço do leite"/>
    <s v="Sim"/>
    <m/>
    <m/>
    <m/>
    <m/>
    <m/>
    <s v="Sim"/>
    <m/>
    <m/>
    <x v="2"/>
    <x v="0"/>
    <x v="0"/>
    <s v="PRONAF"/>
    <s v="Sim"/>
    <m/>
    <m/>
    <m/>
    <m/>
    <m/>
    <m/>
    <s v="Utilizou crédito"/>
    <m/>
    <m/>
    <m/>
    <m/>
    <m/>
    <s v="Sim"/>
    <n v="500"/>
    <n v="500"/>
    <n v="500"/>
    <n v="22"/>
    <n v="22"/>
    <n v="22"/>
    <n v="100"/>
    <n v="0"/>
    <n v="0"/>
    <n v="0"/>
    <n v="0"/>
    <n v="34"/>
    <n v="15"/>
    <x v="0"/>
    <x v="0"/>
    <x v="1"/>
    <n v="3.0575342465753423"/>
    <n v="1"/>
    <n v="4.0575342465753419"/>
    <n v="22"/>
    <n v="8"/>
    <n v="4"/>
    <n v="1"/>
    <n v="20"/>
    <n v="2"/>
    <n v="0"/>
    <n v="0"/>
    <n v="1"/>
    <n v="0"/>
    <n v="0"/>
    <n v="0"/>
    <n v="0"/>
    <n v="100"/>
    <n v="0"/>
    <n v="0"/>
    <n v="0"/>
    <n v="0"/>
    <n v="0"/>
    <n v="0"/>
    <n v="100"/>
    <n v="0"/>
    <n v="0"/>
    <n v="0"/>
    <n v="0"/>
    <x v="0"/>
    <x v="0"/>
    <x v="0"/>
    <x v="0"/>
    <x v="0"/>
    <x v="0"/>
    <x v="0"/>
    <n v="2"/>
    <n v="2"/>
    <s v="De 2 em 2 dias"/>
    <x v="0"/>
    <s v="Brachiaria"/>
    <s v="Sim"/>
    <m/>
    <m/>
    <m/>
    <m/>
    <m/>
    <m/>
    <m/>
    <m/>
    <s v="Nenhuma das anteriores"/>
    <m/>
    <m/>
    <m/>
    <m/>
    <m/>
    <m/>
    <s v="Sim"/>
    <m/>
    <x v="2"/>
    <s v="Produção de leite, Produtividade, Receitas, Despesas"/>
    <s v="Sim"/>
    <s v="Sim"/>
    <s v="Sim"/>
    <s v="Sim"/>
    <m/>
    <m/>
    <m/>
    <x v="0"/>
    <x v="0"/>
    <n v="2"/>
    <s v="Assistência técnica, Vizinho, amigo ou parente"/>
    <s v="Sim"/>
    <s v="Sim"/>
    <m/>
    <m/>
    <m/>
    <m/>
    <n v="24"/>
    <s v="Planejamento da empresa rural, Alimentação do rebanho, Sanidade do rebanho"/>
    <s v="Sim"/>
    <m/>
    <m/>
    <s v="Sim"/>
    <s v="Sim"/>
    <m/>
    <m/>
    <m/>
    <m/>
    <m/>
    <m/>
    <s v="Não sabe"/>
    <m/>
    <m/>
    <m/>
    <m/>
    <m/>
    <m/>
    <m/>
    <m/>
    <m/>
    <m/>
    <s v="Sim"/>
    <n v="0"/>
    <n v="100"/>
    <n v="0"/>
    <n v="0"/>
    <n v="0"/>
    <s v="Galpão coberto, Cobertura vegetal (árvores, sombra natural), Ventiladores mecânicos, Bebedouros"/>
    <s v="Sim"/>
    <m/>
    <s v="Sim"/>
    <m/>
    <s v="Sim"/>
    <m/>
    <m/>
    <s v="Sim"/>
    <m/>
    <m/>
    <x v="0"/>
    <x v="1"/>
    <s v="Picadeira, Trator, Plantadeira, Grade, Arado, Ensiladeira, Distribuidor de calcário, Misturador de ração"/>
    <s v="Sim"/>
    <m/>
    <s v="Sim"/>
    <m/>
    <s v="Sim"/>
    <s v="Sim"/>
    <s v="Sim"/>
    <s v="Sim"/>
    <s v="Sim"/>
    <s v="Sim"/>
    <x v="1"/>
    <s v="Plantio direto, Cobertura do solo, Descarte adequado de embalagens (herbicida e defensivos)"/>
    <s v="Sim"/>
    <s v="Sim"/>
    <s v="Sim"/>
    <m/>
    <m/>
    <n v="0"/>
    <n v="3"/>
    <n v="100"/>
    <n v="26"/>
    <n v="13"/>
    <n v="0"/>
    <n v="2"/>
    <s v="Manqueira, Brucelose, Paratifo, Raiva, Enterotoxemia, Botulismo, Vermifugação, Carrapaticida, IBR/BVD, Leptospirose"/>
    <s v="Sim"/>
    <s v="Sim"/>
    <s v="Sim"/>
    <s v="Sim"/>
    <s v="Sim"/>
    <s v="Sim"/>
    <s v="Sim"/>
    <s v="Sim"/>
    <s v="Sim"/>
    <s v="Sim"/>
    <s v="Pré-dipping, Pós-dipping, Linha de ordenha"/>
    <m/>
    <s v="Sim"/>
    <s v="Sim"/>
    <s v="Sim"/>
    <m/>
    <m/>
    <m/>
    <s v="FIV/TE, Inseminação artificial/IATF"/>
    <s v="Sim"/>
    <s v="Sim"/>
    <m/>
    <m/>
    <x v="0"/>
    <x v="0"/>
    <s v="Ano todo"/>
    <s v="Sim"/>
    <s v="Silagem de milho"/>
    <m/>
    <m/>
    <m/>
    <s v="Sim"/>
    <m/>
    <m/>
    <m/>
    <m/>
    <m/>
    <n v="5"/>
    <n v="2.8"/>
    <n v="1.8"/>
    <n v="3"/>
    <s v="Volume de leite entregue, Nível de CCS, Nível de CBT, Teor de gordura, Teor de proteína"/>
    <s v="Sim"/>
    <s v="Sim"/>
    <s v="Sim"/>
    <s v="Sim"/>
    <s v="Sim"/>
    <m/>
    <m/>
    <x v="0"/>
    <x v="0"/>
    <x v="0"/>
    <x v="0"/>
    <x v="0"/>
  </r>
  <r>
    <m/>
    <x v="1"/>
    <x v="1"/>
    <x v="2"/>
    <x v="1"/>
    <x v="1"/>
    <s v="Alvenaria"/>
    <s v="Não possui"/>
    <s v="Mista"/>
    <s v="CAR - Cadastro Ambiental Rural, Cursos d’água/riacho/nascentes/mina, Vegetação nativa/mata/floresta, Área de preservação permanentes, Área de reserva legal, Serviço de água potável, Serviço de telefonia"/>
    <s v="Sim"/>
    <s v="Sim"/>
    <s v="Sim"/>
    <s v="Sim"/>
    <s v="Sim"/>
    <s v="Sim"/>
    <m/>
    <s v="Sim"/>
    <n v="27"/>
    <n v="7"/>
    <x v="0"/>
    <x v="2"/>
    <x v="0"/>
    <n v="100"/>
    <n v="0"/>
    <n v="0"/>
    <n v="0"/>
    <n v="0"/>
    <n v="0"/>
    <n v="100"/>
    <n v="0"/>
    <n v="0"/>
    <n v="0"/>
    <n v="0"/>
    <x v="1"/>
    <n v="50"/>
    <n v="50"/>
    <n v="0"/>
    <n v="0"/>
    <n v="0"/>
    <n v="60"/>
    <n v="40"/>
    <n v="0"/>
    <s v="Não recebe benefício do governo"/>
    <m/>
    <m/>
    <m/>
    <m/>
    <m/>
    <m/>
    <m/>
    <m/>
    <m/>
    <s v="Sim"/>
    <x v="0"/>
    <x v="1"/>
    <s v="Por proporcionar renda mensal, Tem mercado garantido"/>
    <m/>
    <m/>
    <s v="Sim"/>
    <m/>
    <m/>
    <s v="Sim"/>
    <m/>
    <m/>
    <m/>
    <s v="Instabilidade de políticas públicas"/>
    <m/>
    <m/>
    <m/>
    <m/>
    <m/>
    <m/>
    <m/>
    <s v="Sim"/>
    <m/>
    <m/>
    <m/>
    <m/>
    <s v="Qualidade genética dos animais, Alimentação do rebanho, Preço do leite"/>
    <m/>
    <m/>
    <s v="Sim"/>
    <s v="Sim"/>
    <m/>
    <m/>
    <s v="Sim"/>
    <m/>
    <m/>
    <x v="0"/>
    <x v="0"/>
    <x v="1"/>
    <s v="Não utilizou crédito"/>
    <m/>
    <m/>
    <m/>
    <m/>
    <m/>
    <m/>
    <s v="Sim"/>
    <s v="Não tem capacidade para endividamento"/>
    <m/>
    <m/>
    <s v="Sim"/>
    <m/>
    <m/>
    <m/>
    <n v="130"/>
    <n v="130"/>
    <n v="130"/>
    <n v="19.666666666666668"/>
    <n v="18"/>
    <n v="22"/>
    <n v="100"/>
    <n v="0"/>
    <n v="0"/>
    <n v="0"/>
    <n v="0"/>
    <n v="34"/>
    <n v="10"/>
    <x v="0"/>
    <x v="0"/>
    <x v="1"/>
    <n v="0.50958904109589043"/>
    <n v="0"/>
    <n v="0.50958904109589043"/>
    <n v="5"/>
    <n v="2"/>
    <n v="0"/>
    <n v="0"/>
    <n v="3"/>
    <n v="1"/>
    <n v="0"/>
    <n v="0"/>
    <n v="1"/>
    <n v="0"/>
    <n v="0"/>
    <n v="0"/>
    <n v="0"/>
    <n v="50"/>
    <n v="0"/>
    <n v="50"/>
    <n v="0"/>
    <n v="0"/>
    <n v="80"/>
    <n v="20"/>
    <n v="0"/>
    <n v="0"/>
    <n v="0"/>
    <n v="0"/>
    <n v="0"/>
    <x v="0"/>
    <x v="0"/>
    <x v="0"/>
    <x v="0"/>
    <x v="0"/>
    <x v="0"/>
    <x v="0"/>
    <n v="2"/>
    <n v="2"/>
    <s v="De 2 em 2 dias"/>
    <x v="1"/>
    <s v="Brachiaria, Panicum, Tifton"/>
    <s v="Sim"/>
    <s v="Sim"/>
    <m/>
    <m/>
    <m/>
    <m/>
    <m/>
    <s v="Sim"/>
    <m/>
    <s v="Correção e adubação do solo na implantação, Adubação anual de cobertura, Controle de plantas invasoras, Rotação de pastagens, Divisão em piquetes, Cerca elétrica nos piquetes"/>
    <s v="Sim"/>
    <m/>
    <m/>
    <s v="Sim"/>
    <s v="Sim"/>
    <s v="Sim"/>
    <m/>
    <m/>
    <x v="2"/>
    <s v="Produção de leite, Produtividade, Receitas, Despesas"/>
    <s v="Sim"/>
    <s v="Sim"/>
    <s v="Sim"/>
    <s v="Sim"/>
    <m/>
    <m/>
    <m/>
    <x v="0"/>
    <x v="0"/>
    <n v="2"/>
    <s v="Assistência técnica, Vizinho, amigo ou parente, Treinamento (curso, palestra, etc.), Jornais e revistas agropecuários, Outras mídias sociais"/>
    <s v="Sim"/>
    <s v="Sim"/>
    <s v="Sim"/>
    <s v="Sim"/>
    <m/>
    <s v="Sim"/>
    <n v="28"/>
    <s v="Planejamento da empresa rural, Cálculo do custo de produção, Manejo do rebanho"/>
    <s v="Sim"/>
    <s v="Sim"/>
    <m/>
    <m/>
    <m/>
    <s v="Sim"/>
    <m/>
    <m/>
    <m/>
    <m/>
    <m/>
    <s v="Mercado do leite"/>
    <m/>
    <m/>
    <s v="Sim"/>
    <m/>
    <m/>
    <m/>
    <m/>
    <m/>
    <m/>
    <m/>
    <m/>
    <n v="0"/>
    <n v="0"/>
    <n v="50"/>
    <n v="50"/>
    <n v="0"/>
    <s v="Cobertura vegetal (árvores, sombra natural), Ventiladores mecânicos, Aspersores ou nebulizadores, Bebedouros"/>
    <m/>
    <m/>
    <s v="Sim"/>
    <m/>
    <s v="Sim"/>
    <m/>
    <m/>
    <s v="Sim"/>
    <m/>
    <m/>
    <x v="0"/>
    <x v="1"/>
    <s v="Misturador de ração"/>
    <m/>
    <m/>
    <m/>
    <m/>
    <m/>
    <m/>
    <m/>
    <m/>
    <m/>
    <s v="Sim"/>
    <x v="1"/>
    <s v="Plantio direto, Cobertura do solo, Descarte adequado de embalagens (herbicida e defensivos), Rotação de culturas"/>
    <s v="Sim"/>
    <s v="Sim"/>
    <s v="Sim"/>
    <m/>
    <s v="Sim"/>
    <n v="0"/>
    <n v="3"/>
    <n v="110"/>
    <n v="27"/>
    <n v="14"/>
    <n v="0"/>
    <n v="0"/>
    <s v="Manqueira, Brucelose, Paratifo, Raiva, Enterotoxemia, Botulismo, Vermifugação, Carrapaticida, IBR/BVD, Leptospirose"/>
    <s v="Sim"/>
    <s v="Sim"/>
    <s v="Sim"/>
    <s v="Sim"/>
    <s v="Sim"/>
    <s v="Sim"/>
    <s v="Sim"/>
    <s v="Sim"/>
    <s v="Sim"/>
    <s v="Sim"/>
    <s v="Teste da caneca, Pré-dipping, Pós-dipping, Linha de ordenha, Alimentação durante a ordenha, Alimentação após a ordenha"/>
    <s v="Sim"/>
    <s v="Sim"/>
    <s v="Sim"/>
    <s v="Sim"/>
    <s v="Sim"/>
    <s v="Sim"/>
    <m/>
    <s v="Inseminação artificial/IATF"/>
    <m/>
    <s v="Sim"/>
    <m/>
    <m/>
    <x v="0"/>
    <x v="0"/>
    <s v="Ano todo"/>
    <s v="Sim"/>
    <s v="Silagem de milho"/>
    <m/>
    <m/>
    <m/>
    <s v="Sim"/>
    <m/>
    <m/>
    <m/>
    <m/>
    <m/>
    <n v="4"/>
    <n v="2.52"/>
    <n v="2.2000000000000002"/>
    <n v="2.8"/>
    <s v="Nível de CCS, Nível de CBT, Teor de gordura, Teor de proteína"/>
    <m/>
    <s v="Sim"/>
    <s v="Sim"/>
    <s v="Sim"/>
    <s v="Sim"/>
    <m/>
    <m/>
    <x v="0"/>
    <x v="0"/>
    <x v="0"/>
    <x v="0"/>
    <x v="0"/>
  </r>
  <r>
    <m/>
    <x v="2"/>
    <x v="0"/>
    <x v="3"/>
    <x v="0"/>
    <x v="0"/>
    <s v="Mista"/>
    <s v="Mista"/>
    <s v="Madeira"/>
    <s v="CAR - Cadastro Ambiental Rural, Cursos d’água/riacho/nascentes/mina, Vegetação nativa/mata/floresta, Área de preservação permanentes, Área de reserva legal, Serviço de água potável"/>
    <s v="Sim"/>
    <s v="Sim"/>
    <s v="Sim"/>
    <s v="Sim"/>
    <s v="Sim"/>
    <s v="Sim"/>
    <m/>
    <m/>
    <n v="66"/>
    <n v="50"/>
    <x v="0"/>
    <x v="2"/>
    <x v="1"/>
    <n v="23"/>
    <n v="77"/>
    <n v="0"/>
    <n v="0"/>
    <n v="0"/>
    <n v="0"/>
    <n v="50"/>
    <n v="50"/>
    <n v="0"/>
    <n v="0"/>
    <n v="0"/>
    <x v="0"/>
    <n v="90"/>
    <n v="0"/>
    <n v="10"/>
    <n v="0"/>
    <n v="0"/>
    <n v="90"/>
    <n v="10"/>
    <n v="0"/>
    <s v="Não recebe benefício do governo"/>
    <m/>
    <m/>
    <m/>
    <m/>
    <m/>
    <m/>
    <m/>
    <m/>
    <m/>
    <s v="Sim"/>
    <x v="1"/>
    <x v="1"/>
    <s v="Por ser uma atividade lucrativa"/>
    <m/>
    <s v="Sim"/>
    <m/>
    <m/>
    <m/>
    <m/>
    <m/>
    <m/>
    <m/>
    <s v="Falta de mão de obra, Deficiência na qualificação da mão de obra, Falta de crédito rural, com taxas de juros compatíveis com a atividade"/>
    <s v="Sim"/>
    <s v="Sim"/>
    <s v="Sim"/>
    <m/>
    <m/>
    <m/>
    <m/>
    <m/>
    <m/>
    <m/>
    <m/>
    <m/>
    <s v="Mão de obra qualificada, Sanidade do rebanho, Alimentação do rebanho"/>
    <s v="Sim"/>
    <s v="Sim"/>
    <m/>
    <s v="Sim"/>
    <m/>
    <m/>
    <m/>
    <m/>
    <m/>
    <x v="0"/>
    <x v="0"/>
    <x v="1"/>
    <s v="Não utilizou crédito"/>
    <m/>
    <m/>
    <m/>
    <m/>
    <m/>
    <m/>
    <s v="Sim"/>
    <s v="Não precisou de crédito"/>
    <m/>
    <m/>
    <m/>
    <m/>
    <s v="Sim"/>
    <m/>
    <n v="10000"/>
    <n v="9000"/>
    <n v="11000"/>
    <n v="28"/>
    <n v="26"/>
    <n v="30"/>
    <n v="95"/>
    <n v="0"/>
    <n v="0"/>
    <n v="0"/>
    <n v="5"/>
    <n v="200"/>
    <n v="70"/>
    <x v="0"/>
    <x v="0"/>
    <x v="0"/>
    <n v="1.6109589041095891"/>
    <n v="18"/>
    <n v="19.610958904109587"/>
    <n v="400"/>
    <n v="80"/>
    <n v="70"/>
    <n v="20"/>
    <n v="200"/>
    <n v="150"/>
    <n v="0"/>
    <n v="2"/>
    <n v="3"/>
    <n v="0"/>
    <n v="0"/>
    <n v="0"/>
    <n v="0"/>
    <n v="100"/>
    <n v="0"/>
    <n v="0"/>
    <n v="0"/>
    <n v="0"/>
    <n v="0"/>
    <n v="0"/>
    <n v="0"/>
    <n v="100"/>
    <n v="0"/>
    <n v="0"/>
    <n v="0"/>
    <x v="0"/>
    <x v="0"/>
    <x v="0"/>
    <x v="0"/>
    <x v="0"/>
    <x v="0"/>
    <x v="0"/>
    <n v="2"/>
    <n v="2"/>
    <s v="Todos os dias"/>
    <x v="1"/>
    <s v="Cynodon"/>
    <m/>
    <m/>
    <m/>
    <m/>
    <m/>
    <m/>
    <s v="Sim"/>
    <m/>
    <m/>
    <s v="Correção e adubação do solo na implantação"/>
    <s v="Sim"/>
    <m/>
    <m/>
    <m/>
    <m/>
    <m/>
    <m/>
    <m/>
    <x v="2"/>
    <s v="Produção de leite, Produtividade, Receitas"/>
    <s v="Sim"/>
    <s v="Sim"/>
    <s v="Sim"/>
    <m/>
    <m/>
    <m/>
    <m/>
    <x v="0"/>
    <x v="0"/>
    <n v="2.6"/>
    <s v="Assistência técnica"/>
    <s v="Sim"/>
    <m/>
    <m/>
    <m/>
    <m/>
    <m/>
    <n v="120"/>
    <s v="Planejamento da empresa rural, Cálculo do custo de produção, Sanidade do rebanho"/>
    <s v="Sim"/>
    <s v="Sim"/>
    <m/>
    <m/>
    <s v="Sim"/>
    <m/>
    <m/>
    <m/>
    <m/>
    <m/>
    <m/>
    <s v="Gerenciamento da produção"/>
    <m/>
    <m/>
    <m/>
    <m/>
    <m/>
    <m/>
    <m/>
    <s v="Sim"/>
    <m/>
    <m/>
    <m/>
    <n v="30"/>
    <n v="70"/>
    <n v="0"/>
    <n v="0"/>
    <n v="0"/>
    <s v="Galpão coberto, Ventiladores mecânicos, Sistema de resfriamento evaporativo, Bebedouros, Controle automatizado de temperatura/umidade"/>
    <s v="Sim"/>
    <m/>
    <m/>
    <m/>
    <s v="Sim"/>
    <m/>
    <s v="Sim"/>
    <s v="Sim"/>
    <s v="Sim"/>
    <m/>
    <x v="0"/>
    <x v="0"/>
    <s v="Balança para os animais, Trator, Vagão forrageiro, Plantadeira, Grade, Ensiladeira, Distribuidor de calcário, Misturador de ração"/>
    <m/>
    <s v="Sim"/>
    <s v="Sim"/>
    <s v="Sim"/>
    <s v="Sim"/>
    <s v="Sim"/>
    <m/>
    <s v="Sim"/>
    <s v="Sim"/>
    <s v="Sim"/>
    <x v="2"/>
    <s v="Plantio direto, Cobertura do solo, Descarte adequado de embalagens (herbicida e defensivos), Rotação de culturas"/>
    <s v="Sim"/>
    <s v="Sim"/>
    <s v="Sim"/>
    <m/>
    <s v="Sim"/>
    <n v="3"/>
    <n v="3"/>
    <n v="120"/>
    <n v="23"/>
    <n v="14"/>
    <n v="3"/>
    <n v="3"/>
    <s v="Manqueira, Brucelose, Paratifo, Raiva, Enterotoxemia, Vermifugação, Carrapaticida, IBR/BVD, Leptospirose"/>
    <s v="Sim"/>
    <s v="Sim"/>
    <s v="Sim"/>
    <s v="Sim"/>
    <s v="Sim"/>
    <m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Inseminação artificial/IATF"/>
    <m/>
    <s v="Sim"/>
    <m/>
    <m/>
    <x v="0"/>
    <x v="0"/>
    <s v="Ano todo"/>
    <s v="Sim"/>
    <s v="Silagem de milho"/>
    <m/>
    <m/>
    <m/>
    <s v="Sim"/>
    <m/>
    <m/>
    <m/>
    <m/>
    <m/>
    <n v="8"/>
    <n v="2.76"/>
    <n v="2.4"/>
    <n v="3"/>
    <s v="Volume de leite entregue, Nível de CCS, Nível de CBT, Teor de gordura, Teor de proteína"/>
    <s v="Sim"/>
    <s v="Sim"/>
    <s v="Sim"/>
    <s v="Sim"/>
    <s v="Sim"/>
    <m/>
    <m/>
    <x v="0"/>
    <x v="0"/>
    <x v="0"/>
    <x v="0"/>
    <x v="0"/>
  </r>
  <r>
    <m/>
    <x v="2"/>
    <x v="1"/>
    <x v="4"/>
    <x v="2"/>
    <x v="0"/>
    <s v="Alvenaria"/>
    <s v="Não possui"/>
    <s v="Alvenaria"/>
    <s v="CAR - Cadastro Ambiental Rural, Cursos d’água/riacho/nascentes/mina, Vegetação nativa/mata/floresta, Área de preservação permanentes, Área de reserva legal, Serviço de telefonia"/>
    <s v="Sim"/>
    <s v="Sim"/>
    <s v="Sim"/>
    <s v="Sim"/>
    <s v="Sim"/>
    <m/>
    <m/>
    <s v="Sim"/>
    <n v="50"/>
    <n v="15"/>
    <x v="0"/>
    <x v="3"/>
    <x v="1"/>
    <n v="0"/>
    <n v="0"/>
    <n v="0"/>
    <n v="100"/>
    <n v="0"/>
    <n v="0"/>
    <m/>
    <m/>
    <m/>
    <m/>
    <m/>
    <x v="0"/>
    <n v="90"/>
    <n v="0"/>
    <n v="0"/>
    <n v="0"/>
    <n v="10"/>
    <n v="99"/>
    <n v="1"/>
    <n v="0"/>
    <s v="PRONAF"/>
    <m/>
    <m/>
    <s v="Sim"/>
    <m/>
    <m/>
    <m/>
    <m/>
    <m/>
    <m/>
    <m/>
    <x v="2"/>
    <x v="1"/>
    <s v="Por gostar, Por ser uma atividade lucrativa, Por proporcionar renda mensal"/>
    <s v="Sim"/>
    <s v="Sim"/>
    <s v="Sim"/>
    <m/>
    <m/>
    <m/>
    <m/>
    <m/>
    <m/>
    <s v="Deficiência de informações de mercado"/>
    <m/>
    <m/>
    <m/>
    <m/>
    <s v="Sim"/>
    <m/>
    <m/>
    <m/>
    <m/>
    <m/>
    <m/>
    <m/>
    <s v="Qualidade genética dos animais, Alimentação do rebanho, Reprodução do rebanho"/>
    <m/>
    <m/>
    <s v="Sim"/>
    <s v="Sim"/>
    <m/>
    <s v="Sim"/>
    <m/>
    <m/>
    <m/>
    <x v="0"/>
    <x v="2"/>
    <x v="0"/>
    <s v="PRONAF"/>
    <s v="Sim"/>
    <m/>
    <m/>
    <m/>
    <m/>
    <m/>
    <m/>
    <s v="Utilizou crédito"/>
    <m/>
    <m/>
    <m/>
    <m/>
    <m/>
    <s v="Sim"/>
    <n v="733.33333333333337"/>
    <n v="650"/>
    <n v="750"/>
    <n v="31.333333333333332"/>
    <n v="28"/>
    <n v="32"/>
    <n v="96"/>
    <n v="0"/>
    <n v="1"/>
    <n v="1"/>
    <n v="2"/>
    <m/>
    <n v="6.2"/>
    <x v="0"/>
    <x v="0"/>
    <x v="0"/>
    <n v="1.000109589041096"/>
    <n v="0"/>
    <n v="1.000109589041096"/>
    <n v="28"/>
    <n v="4"/>
    <n v="2"/>
    <n v="1"/>
    <n v="19"/>
    <n v="13"/>
    <n v="1"/>
    <n v="0"/>
    <n v="0"/>
    <n v="0"/>
    <n v="100"/>
    <n v="0"/>
    <n v="0"/>
    <n v="0"/>
    <n v="0"/>
    <n v="0"/>
    <n v="0"/>
    <n v="0"/>
    <n v="0"/>
    <n v="10"/>
    <n v="90"/>
    <n v="0"/>
    <n v="0"/>
    <n v="0"/>
    <n v="0"/>
    <x v="0"/>
    <x v="0"/>
    <x v="0"/>
    <x v="0"/>
    <x v="0"/>
    <x v="0"/>
    <x v="0"/>
    <n v="2"/>
    <n v="2"/>
    <s v="De 2 em 2 dias"/>
    <x v="1"/>
    <s v="Brachiaria, Tifton"/>
    <s v="Sim"/>
    <m/>
    <m/>
    <m/>
    <m/>
    <m/>
    <m/>
    <s v="Sim"/>
    <m/>
    <s v="Controle de plantas invasoras, Divisão em piquetes, Cerca elétrica nos piquetes"/>
    <m/>
    <m/>
    <m/>
    <m/>
    <s v="Sim"/>
    <s v="Sim"/>
    <m/>
    <m/>
    <x v="2"/>
    <s v="Produtividade, Receitas"/>
    <m/>
    <s v="Sim"/>
    <s v="Sim"/>
    <m/>
    <m/>
    <m/>
    <m/>
    <x v="0"/>
    <x v="0"/>
    <n v="2.35"/>
    <s v="Assistência técnica, Outras mídias sociais"/>
    <s v="Sim"/>
    <m/>
    <m/>
    <m/>
    <m/>
    <s v="Sim"/>
    <n v="20"/>
    <s v="Planejamento da empresa rural, Alimentação do rebanho, Qualidade do leite"/>
    <s v="Sim"/>
    <m/>
    <m/>
    <s v="Sim"/>
    <m/>
    <m/>
    <m/>
    <m/>
    <m/>
    <s v="Sim"/>
    <m/>
    <s v="Mercado do leite"/>
    <m/>
    <m/>
    <s v="Sim"/>
    <m/>
    <m/>
    <m/>
    <m/>
    <m/>
    <m/>
    <m/>
    <m/>
    <n v="0"/>
    <n v="100"/>
    <n v="0"/>
    <n v="0"/>
    <n v="0"/>
    <s v="Galpão coberto, Cobertura vegetal (árvores, sombra natural), Ventiladores mecânicos, Aspersores ou nebulizadores, Bebedouros, Controle automatizado de temperatura/umidade"/>
    <s v="Sim"/>
    <m/>
    <s v="Sim"/>
    <m/>
    <s v="Sim"/>
    <m/>
    <m/>
    <s v="Sim"/>
    <s v="Sim"/>
    <m/>
    <x v="0"/>
    <x v="1"/>
    <s v="Trator, Plantadeira, Grade, Ensiladeira, Misturador de ração"/>
    <m/>
    <m/>
    <s v="Sim"/>
    <m/>
    <s v="Sim"/>
    <s v="Sim"/>
    <m/>
    <s v="Sim"/>
    <m/>
    <s v="Sim"/>
    <x v="2"/>
    <s v="Rotação de culturas"/>
    <m/>
    <m/>
    <m/>
    <m/>
    <s v="Sim"/>
    <n v="0"/>
    <n v="2.5"/>
    <n v="120"/>
    <n v="24"/>
    <n v="14"/>
    <n v="0"/>
    <n v="0"/>
    <s v="Manqueira, Brucelose, Raiva, Botulismo, Vermifugação, IBR/BVD, Leptospirose"/>
    <s v="Sim"/>
    <s v="Sim"/>
    <m/>
    <s v="Sim"/>
    <m/>
    <s v="Sim"/>
    <s v="Sim"/>
    <m/>
    <s v="Sim"/>
    <s v="Sim"/>
    <s v="Pré-dipping, Pós-dipping, Linha de ordenha"/>
    <m/>
    <s v="Sim"/>
    <s v="Sim"/>
    <s v="Sim"/>
    <m/>
    <m/>
    <m/>
    <s v="Inseminação artificial/IATF, Natural não controlada"/>
    <m/>
    <s v="Sim"/>
    <m/>
    <s v="Sim"/>
    <x v="0"/>
    <x v="2"/>
    <s v="Ano todo"/>
    <s v="Sim"/>
    <s v="Silagem de milho"/>
    <m/>
    <m/>
    <m/>
    <s v="Sim"/>
    <m/>
    <m/>
    <m/>
    <m/>
    <m/>
    <n v="5"/>
    <n v="3.04"/>
    <n v="2.8"/>
    <n v="2.8"/>
    <s v="Volume de leite entregue, Nível de CCS, Nível de CBT, Teor de gordura, Teor de proteína"/>
    <s v="Sim"/>
    <s v="Sim"/>
    <s v="Sim"/>
    <s v="Sim"/>
    <s v="Sim"/>
    <m/>
    <m/>
    <x v="0"/>
    <x v="0"/>
    <x v="0"/>
    <x v="0"/>
    <x v="1"/>
  </r>
  <r>
    <m/>
    <x v="3"/>
    <x v="0"/>
    <x v="0"/>
    <x v="0"/>
    <x v="0"/>
    <s v="Alvenaria"/>
    <s v="Não possui"/>
    <s v="Alvenaria"/>
    <s v="CAR - Cadastro Ambiental Rural, Cursos d’água/riacho/nascentes/mina, Vegetação nativa/mata/floresta, Área de preservação permanentes"/>
    <s v="Sim"/>
    <s v="Sim"/>
    <s v="Sim"/>
    <s v="Sim"/>
    <m/>
    <m/>
    <m/>
    <m/>
    <n v="31"/>
    <n v="19"/>
    <x v="0"/>
    <x v="2"/>
    <x v="1"/>
    <n v="99"/>
    <n v="1"/>
    <n v="0"/>
    <n v="0"/>
    <n v="0"/>
    <n v="0"/>
    <n v="10"/>
    <n v="90"/>
    <n v="0"/>
    <n v="0"/>
    <n v="0"/>
    <x v="0"/>
    <n v="40"/>
    <n v="0"/>
    <n v="0"/>
    <n v="0"/>
    <n v="60"/>
    <n v="90"/>
    <n v="10"/>
    <n v="0"/>
    <s v="Não recebe benefício do governo"/>
    <m/>
    <m/>
    <m/>
    <m/>
    <m/>
    <m/>
    <m/>
    <m/>
    <m/>
    <s v="Sim"/>
    <x v="2"/>
    <x v="1"/>
    <s v="Por gostar, Por ser uma atividade lucrativa, Por proporcionar renda mensal"/>
    <s v="Sim"/>
    <s v="Sim"/>
    <s v="Sim"/>
    <m/>
    <m/>
    <m/>
    <m/>
    <m/>
    <m/>
    <s v="Falta de mão de obra, Deficiência na qualificação da mão de obra, Custo dos insumos"/>
    <s v="Sim"/>
    <s v="Sim"/>
    <m/>
    <m/>
    <m/>
    <s v="Sim"/>
    <m/>
    <m/>
    <m/>
    <m/>
    <m/>
    <m/>
    <s v="Sanidade do rebanho, Qualidade genética dos animais, Preço do leite"/>
    <m/>
    <s v="Sim"/>
    <s v="Sim"/>
    <m/>
    <m/>
    <m/>
    <s v="Sim"/>
    <m/>
    <m/>
    <x v="2"/>
    <x v="0"/>
    <x v="1"/>
    <s v="Não utilizou crédito"/>
    <m/>
    <m/>
    <m/>
    <m/>
    <m/>
    <m/>
    <s v="Sim"/>
    <s v="Não precisou de crédito"/>
    <m/>
    <m/>
    <m/>
    <m/>
    <s v="Sim"/>
    <m/>
    <n v="1613.3333333333333"/>
    <n v="1600"/>
    <n v="1620"/>
    <n v="31.333333333333332"/>
    <n v="30"/>
    <n v="32"/>
    <n v="80"/>
    <n v="1"/>
    <n v="0"/>
    <n v="2"/>
    <n v="17"/>
    <n v="46"/>
    <n v="17"/>
    <x v="1"/>
    <x v="1"/>
    <x v="1"/>
    <n v="0.49315068493150682"/>
    <n v="11"/>
    <n v="11.493150684931507"/>
    <n v="53"/>
    <n v="9"/>
    <n v="19"/>
    <n v="0"/>
    <n v="35"/>
    <n v="15"/>
    <n v="0"/>
    <n v="0"/>
    <n v="0"/>
    <n v="0"/>
    <n v="0"/>
    <n v="0"/>
    <n v="0"/>
    <n v="95"/>
    <n v="0"/>
    <n v="5"/>
    <n v="0"/>
    <n v="0"/>
    <n v="1"/>
    <n v="0"/>
    <n v="0"/>
    <n v="99"/>
    <n v="0"/>
    <n v="0"/>
    <n v="0"/>
    <x v="0"/>
    <x v="0"/>
    <x v="0"/>
    <x v="0"/>
    <x v="0"/>
    <x v="0"/>
    <x v="0"/>
    <n v="2"/>
    <n v="2"/>
    <s v="De 2 em 2 dias"/>
    <x v="2"/>
    <s v="Não tem pastagem plantada"/>
    <m/>
    <m/>
    <m/>
    <m/>
    <m/>
    <m/>
    <m/>
    <m/>
    <s v="Sim"/>
    <s v="Não utiliza pastagens"/>
    <m/>
    <m/>
    <m/>
    <m/>
    <m/>
    <m/>
    <m/>
    <s v="Sim"/>
    <x v="0"/>
    <s v="Produtividade, Venda de genética, Venda de animais"/>
    <m/>
    <s v="Sim"/>
    <m/>
    <m/>
    <s v="Sim"/>
    <s v="Sim"/>
    <m/>
    <x v="0"/>
    <x v="1"/>
    <m/>
    <s v="Assistência técnica, Treinamento (curso, palestra, etc.), Outras mídias sociais"/>
    <s v="Sim"/>
    <m/>
    <s v="Sim"/>
    <m/>
    <m/>
    <s v="Sim"/>
    <n v="26"/>
    <s v="Sanidade do rebanho, Manejo do rebanho, Melhoramento genético"/>
    <m/>
    <m/>
    <m/>
    <m/>
    <s v="Sim"/>
    <s v="Sim"/>
    <s v="Sim"/>
    <m/>
    <m/>
    <m/>
    <m/>
    <s v="Mercado do leite"/>
    <m/>
    <m/>
    <s v="Sim"/>
    <m/>
    <m/>
    <m/>
    <m/>
    <m/>
    <m/>
    <m/>
    <m/>
    <n v="0"/>
    <n v="100"/>
    <n v="0"/>
    <n v="0"/>
    <n v="0"/>
    <s v="Galpão coberto, Ventiladores mecânicos, Aspersores ou nebulizadores, Sistema de resfriamento evaporativo, Bebedouros"/>
    <s v="Sim"/>
    <m/>
    <m/>
    <m/>
    <s v="Sim"/>
    <m/>
    <s v="Sim"/>
    <s v="Sim"/>
    <m/>
    <m/>
    <x v="0"/>
    <x v="0"/>
    <s v="Picadeira, Balança para os animais, Trator, Vagão forrageiro, Grade, Misturador de ração"/>
    <s v="Sim"/>
    <s v="Sim"/>
    <s v="Sim"/>
    <s v="Sim"/>
    <m/>
    <s v="Sim"/>
    <m/>
    <m/>
    <m/>
    <s v="Sim"/>
    <x v="0"/>
    <s v="Plantio direto, Cobertura do solo, Descarte adequado de embalagens (herbicida e defensivos), Tratamento de efluentes da residência, Rotação de culturas"/>
    <s v="Sim"/>
    <s v="Sim"/>
    <s v="Sim"/>
    <s v="Sim"/>
    <s v="Sim"/>
    <n v="0"/>
    <n v="3"/>
    <n v="110"/>
    <n v="23"/>
    <n v="13"/>
    <n v="1"/>
    <n v="1.6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Alimentação após a ordenha, Identificação de animais tratados com antibiótico"/>
    <s v="Sim"/>
    <s v="Sim"/>
    <s v="Sim"/>
    <m/>
    <m/>
    <s v="Sim"/>
    <s v="Sim"/>
    <s v="FIV/TE, Inseminação artificial/IATF"/>
    <s v="Sim"/>
    <s v="Sim"/>
    <m/>
    <m/>
    <x v="1"/>
    <x v="0"/>
    <s v="Ano todo"/>
    <s v="Sim"/>
    <s v="Cana-de-açúcar, Capineira, Silagem de milho"/>
    <s v="Sim"/>
    <s v="Sim"/>
    <m/>
    <s v="Sim"/>
    <m/>
    <m/>
    <m/>
    <m/>
    <m/>
    <n v="5"/>
    <n v="3"/>
    <n v="2.5"/>
    <n v="2.95"/>
    <s v="Nível de CCS, Nível de CBT, Teor de gordura, Teor de proteína"/>
    <m/>
    <s v="Sim"/>
    <s v="Sim"/>
    <s v="Sim"/>
    <s v="Sim"/>
    <m/>
    <m/>
    <x v="0"/>
    <x v="0"/>
    <x v="0"/>
    <x v="1"/>
    <x v="0"/>
  </r>
  <r>
    <m/>
    <x v="0"/>
    <x v="0"/>
    <x v="4"/>
    <x v="0"/>
    <x v="0"/>
    <s v="Alvenaria"/>
    <s v="Alvenaria"/>
    <s v="Mista"/>
    <s v="CAR - Cadastro Ambiental Rural, Cursos d’água/riacho/nascentes/mina, Vegetação nativa/mata/floresta, Área de preservação permanentes, Área de reserva legal, Serviço de água potável"/>
    <s v="Sim"/>
    <s v="Sim"/>
    <s v="Sim"/>
    <s v="Sim"/>
    <s v="Sim"/>
    <s v="Sim"/>
    <m/>
    <m/>
    <n v="60"/>
    <n v="5"/>
    <x v="0"/>
    <x v="2"/>
    <x v="0"/>
    <n v="70"/>
    <n v="30"/>
    <n v="0"/>
    <n v="0"/>
    <n v="0"/>
    <n v="0"/>
    <n v="0"/>
    <n v="100"/>
    <n v="0"/>
    <n v="0"/>
    <n v="0"/>
    <x v="0"/>
    <n v="50"/>
    <n v="0"/>
    <n v="0"/>
    <n v="0"/>
    <n v="50"/>
    <n v="97"/>
    <n v="3"/>
    <n v="0"/>
    <s v="Aposentadoria"/>
    <m/>
    <s v="Sim"/>
    <m/>
    <m/>
    <m/>
    <m/>
    <m/>
    <m/>
    <m/>
    <m/>
    <x v="0"/>
    <x v="0"/>
    <s v="Por gostar, A atividade leiteira é uma tradição na família"/>
    <s v="Sim"/>
    <m/>
    <m/>
    <s v="Sim"/>
    <m/>
    <m/>
    <m/>
    <m/>
    <m/>
    <s v="Deficiência na qualificação da mão de obra, Falta de crédito rural, com taxas de juros compatíveis com a atividade, Custo dos insumos"/>
    <m/>
    <s v="Sim"/>
    <s v="Sim"/>
    <m/>
    <m/>
    <s v="Sim"/>
    <m/>
    <m/>
    <m/>
    <m/>
    <m/>
    <m/>
    <s v="Mão de obra qualificada, Qualidade genética dos animais, Manejo do rebanho"/>
    <s v="Sim"/>
    <m/>
    <s v="Sim"/>
    <m/>
    <s v="Sim"/>
    <m/>
    <m/>
    <m/>
    <m/>
    <x v="0"/>
    <x v="0"/>
    <x v="0"/>
    <s v="PRONAMPE"/>
    <m/>
    <m/>
    <s v="Sim"/>
    <m/>
    <m/>
    <m/>
    <m/>
    <s v="Utilizou crédito"/>
    <m/>
    <m/>
    <m/>
    <m/>
    <m/>
    <s v="Sim"/>
    <n v="800"/>
    <n v="800"/>
    <n v="800"/>
    <n v="27"/>
    <n v="27"/>
    <n v="27"/>
    <n v="95"/>
    <n v="0"/>
    <n v="0"/>
    <n v="0.5"/>
    <n v="4.5"/>
    <n v="15"/>
    <n v="25"/>
    <x v="0"/>
    <x v="0"/>
    <x v="0"/>
    <n v="3.287671232876712E-2"/>
    <n v="3"/>
    <n v="3.032876712328767"/>
    <n v="38"/>
    <n v="3"/>
    <n v="10"/>
    <n v="0"/>
    <n v="20"/>
    <n v="10"/>
    <n v="1"/>
    <n v="0"/>
    <n v="1"/>
    <n v="0"/>
    <n v="0"/>
    <n v="5"/>
    <n v="0"/>
    <n v="95"/>
    <n v="0"/>
    <n v="0"/>
    <n v="0"/>
    <n v="0"/>
    <n v="5"/>
    <n v="90"/>
    <n v="0"/>
    <n v="5"/>
    <n v="0"/>
    <n v="0"/>
    <n v="0"/>
    <x v="0"/>
    <x v="0"/>
    <x v="0"/>
    <x v="0"/>
    <x v="0"/>
    <x v="0"/>
    <x v="0"/>
    <n v="2"/>
    <n v="2"/>
    <s v="De 2 em 2 dias"/>
    <x v="1"/>
    <s v="Brachiaria, Tifton"/>
    <s v="Sim"/>
    <m/>
    <m/>
    <m/>
    <m/>
    <m/>
    <m/>
    <s v="Sim"/>
    <m/>
    <s v="Correção e adubação do solo na implantação, Controle de plantas invasoras, Rotação de pastagens, Divisão em piquetes"/>
    <s v="Sim"/>
    <m/>
    <m/>
    <s v="Sim"/>
    <s v="Sim"/>
    <m/>
    <m/>
    <m/>
    <x v="0"/>
    <s v="Produção de leite, Produtividade"/>
    <s v="Sim"/>
    <s v="Sim"/>
    <m/>
    <m/>
    <m/>
    <m/>
    <m/>
    <x v="1"/>
    <x v="0"/>
    <n v="2.48"/>
    <s v="Assistência técnica, Treinamento (curso, palestra, etc.), Outras mídias sociais"/>
    <s v="Sim"/>
    <m/>
    <s v="Sim"/>
    <m/>
    <m/>
    <s v="Sim"/>
    <n v="25"/>
    <s v="Cálculo do custo de produção, Alimentação do rebanho, Sanidade do rebanho"/>
    <m/>
    <s v="Sim"/>
    <m/>
    <s v="Sim"/>
    <s v="Sim"/>
    <m/>
    <m/>
    <m/>
    <m/>
    <m/>
    <m/>
    <s v="Mercado do leite, Produção de leite e meio ambiente"/>
    <m/>
    <m/>
    <s v="Sim"/>
    <m/>
    <m/>
    <m/>
    <m/>
    <m/>
    <s v="Sim"/>
    <m/>
    <m/>
    <n v="0"/>
    <n v="100"/>
    <n v="0"/>
    <n v="0"/>
    <n v="0"/>
    <s v="Galpão coberto, Sombrite ou tela de sombreamento, Cobertura vegetal (árvores, sombra natural), Ventiladores mecânicos, Aspersores ou nebulizadores, Sistema de resfriamento evaporativo, Bebedouros"/>
    <s v="Sim"/>
    <s v="Sim"/>
    <s v="Sim"/>
    <m/>
    <s v="Sim"/>
    <m/>
    <s v="Sim"/>
    <s v="Sim"/>
    <m/>
    <m/>
    <x v="0"/>
    <x v="0"/>
    <s v="Picadeira, Trator, Misturador de ração"/>
    <s v="Sim"/>
    <m/>
    <s v="Sim"/>
    <m/>
    <m/>
    <m/>
    <m/>
    <m/>
    <m/>
    <s v="Sim"/>
    <x v="1"/>
    <s v="Cobertura do solo, Descarte adequado de embalagens (herbicida e defensivos)"/>
    <m/>
    <s v="Sim"/>
    <s v="Sim"/>
    <m/>
    <m/>
    <n v="0"/>
    <n v="3"/>
    <n v="110"/>
    <n v="23"/>
    <n v="13"/>
    <n v="3"/>
    <n v="6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Alimentação após a ordenha, Identificação de animais tratados com antibiótico"/>
    <s v="Sim"/>
    <s v="Sim"/>
    <s v="Sim"/>
    <m/>
    <m/>
    <s v="Sim"/>
    <s v="Sim"/>
    <s v="Inseminação artificial/IATF"/>
    <m/>
    <s v="Sim"/>
    <m/>
    <m/>
    <x v="0"/>
    <x v="0"/>
    <s v="Ano todo"/>
    <s v="Sim"/>
    <s v="Capineira, Silagem de milho"/>
    <m/>
    <s v="Sim"/>
    <m/>
    <s v="Sim"/>
    <m/>
    <m/>
    <m/>
    <m/>
    <m/>
    <n v="0.6"/>
    <n v="2.75"/>
    <n v="2.2999999999999998"/>
    <n v="2.5"/>
    <s v="Volume de leite entregue, Nível de CCS, Nível de CBT, Teor de gordura, Teor de proteína"/>
    <s v="Sim"/>
    <s v="Sim"/>
    <s v="Sim"/>
    <s v="Sim"/>
    <s v="Sim"/>
    <m/>
    <m/>
    <x v="0"/>
    <x v="0"/>
    <x v="0"/>
    <x v="1"/>
    <x v="1"/>
  </r>
  <r>
    <m/>
    <x v="4"/>
    <x v="0"/>
    <x v="0"/>
    <x v="1"/>
    <x v="0"/>
    <s v="Alvenaria"/>
    <s v="Alvenaria"/>
    <s v="Madeira"/>
    <s v="CAR - Cadastro Ambiental Rural, Cursos d’água/riacho/nascentes/mina, Vegetação nativa/mata/floresta, Área de preservação permanentes, Área de reserva legal, Serviço de telefonia"/>
    <s v="Sim"/>
    <s v="Sim"/>
    <s v="Sim"/>
    <s v="Sim"/>
    <s v="Sim"/>
    <m/>
    <m/>
    <s v="Sim"/>
    <n v="60"/>
    <n v="24"/>
    <x v="0"/>
    <x v="2"/>
    <x v="0"/>
    <n v="60"/>
    <n v="40"/>
    <n v="0"/>
    <n v="0"/>
    <n v="0"/>
    <n v="0"/>
    <n v="90"/>
    <n v="10"/>
    <n v="0"/>
    <n v="0"/>
    <n v="0"/>
    <x v="0"/>
    <n v="10"/>
    <n v="0"/>
    <n v="0"/>
    <n v="0"/>
    <n v="90"/>
    <n v="95"/>
    <n v="5"/>
    <n v="0"/>
    <s v="Não recebe benefício do governo"/>
    <m/>
    <m/>
    <m/>
    <m/>
    <m/>
    <m/>
    <m/>
    <m/>
    <m/>
    <s v="Sim"/>
    <x v="1"/>
    <x v="1"/>
    <s v="Por gostar"/>
    <s v="Sim"/>
    <m/>
    <m/>
    <m/>
    <m/>
    <m/>
    <m/>
    <m/>
    <m/>
    <s v="Deficiência na qualificação da mão de obra"/>
    <m/>
    <s v="Sim"/>
    <m/>
    <m/>
    <m/>
    <m/>
    <m/>
    <m/>
    <m/>
    <m/>
    <m/>
    <m/>
    <s v="Mão de obra qualificada, Sanidade do rebanho, Qualidade genética dos animais"/>
    <s v="Sim"/>
    <s v="Sim"/>
    <s v="Sim"/>
    <m/>
    <m/>
    <m/>
    <m/>
    <m/>
    <m/>
    <x v="0"/>
    <x v="0"/>
    <x v="1"/>
    <s v="Não utilizou crédito"/>
    <m/>
    <m/>
    <m/>
    <m/>
    <m/>
    <m/>
    <s v="Sim"/>
    <s v="Documentação pessoal incompleta, Não precisou de crédito"/>
    <s v="Sim"/>
    <m/>
    <m/>
    <m/>
    <s v="Sim"/>
    <m/>
    <n v="1300"/>
    <n v="1300"/>
    <n v="1300"/>
    <n v="22"/>
    <n v="22"/>
    <n v="22"/>
    <n v="94"/>
    <n v="0"/>
    <n v="0"/>
    <n v="0"/>
    <n v="6"/>
    <n v="80.599999999999994"/>
    <n v="50"/>
    <x v="0"/>
    <x v="0"/>
    <x v="1"/>
    <n v="9.8630136986301367E-2"/>
    <n v="5"/>
    <n v="5.0986301369863014"/>
    <n v="64"/>
    <n v="14"/>
    <n v="8"/>
    <n v="2"/>
    <n v="47"/>
    <n v="22"/>
    <n v="12"/>
    <n v="0"/>
    <n v="0"/>
    <n v="0"/>
    <n v="0"/>
    <n v="0"/>
    <n v="100"/>
    <n v="0"/>
    <n v="0"/>
    <n v="0"/>
    <n v="0"/>
    <n v="0"/>
    <n v="0"/>
    <n v="80"/>
    <n v="20"/>
    <n v="0"/>
    <n v="0"/>
    <n v="0"/>
    <n v="0"/>
    <x v="0"/>
    <x v="0"/>
    <x v="0"/>
    <x v="0"/>
    <x v="0"/>
    <x v="0"/>
    <x v="0"/>
    <n v="2"/>
    <n v="2"/>
    <s v="De 2 em 2 dias"/>
    <x v="1"/>
    <s v="Brachiaria"/>
    <s v="Sim"/>
    <m/>
    <m/>
    <m/>
    <m/>
    <m/>
    <m/>
    <m/>
    <m/>
    <s v="Correção e adubação do solo na implantação, Controle de plantas invasoras, Rotação de pastagens, Divisão em piquetes"/>
    <s v="Sim"/>
    <m/>
    <m/>
    <s v="Sim"/>
    <s v="Sim"/>
    <m/>
    <m/>
    <m/>
    <x v="2"/>
    <s v="Produção de leite, Produtividade, Receitas"/>
    <s v="Sim"/>
    <s v="Sim"/>
    <s v="Sim"/>
    <m/>
    <m/>
    <m/>
    <m/>
    <x v="1"/>
    <x v="0"/>
    <n v="2.21"/>
    <s v="Assistência técnica"/>
    <s v="Sim"/>
    <m/>
    <m/>
    <m/>
    <m/>
    <m/>
    <n v="84"/>
    <s v="Cálculo do custo de produção, Alimentação do rebanho, Sanidade do rebanho, Melhoramento genético"/>
    <m/>
    <s v="Sim"/>
    <m/>
    <s v="Sim"/>
    <s v="Sim"/>
    <m/>
    <s v="Sim"/>
    <m/>
    <m/>
    <m/>
    <m/>
    <s v="Mercado do leite"/>
    <m/>
    <m/>
    <s v="Sim"/>
    <m/>
    <m/>
    <m/>
    <m/>
    <m/>
    <m/>
    <m/>
    <m/>
    <n v="0"/>
    <n v="100"/>
    <n v="0"/>
    <n v="0"/>
    <n v="0"/>
    <s v="Galpão coberto, Ventiladores mecânicos, Bebedouros"/>
    <s v="Sim"/>
    <m/>
    <m/>
    <m/>
    <s v="Sim"/>
    <m/>
    <m/>
    <s v="Sim"/>
    <m/>
    <m/>
    <x v="0"/>
    <x v="0"/>
    <s v="Picadeira, Trator, Vagão forrageiro, Plantadeira, Grade, Ensiladeira, Misturador de ração"/>
    <s v="Sim"/>
    <m/>
    <s v="Sim"/>
    <s v="Sim"/>
    <s v="Sim"/>
    <s v="Sim"/>
    <m/>
    <s v="Sim"/>
    <m/>
    <s v="Sim"/>
    <x v="0"/>
    <s v="Plantio direto, Cobertura do solo"/>
    <s v="Sim"/>
    <s v="Sim"/>
    <m/>
    <m/>
    <m/>
    <n v="1"/>
    <n v="2.5"/>
    <n v="120"/>
    <n v="29.6"/>
    <n v="15.5"/>
    <n v="3"/>
    <n v="3"/>
    <s v="Manqueira, Brucelose, Raiva, Enterotoxemia, Vermifugação, Carrapaticida, IBR/BVD, Leptospirose"/>
    <s v="Sim"/>
    <s v="Sim"/>
    <m/>
    <s v="Sim"/>
    <s v="Sim"/>
    <m/>
    <s v="Sim"/>
    <s v="Sim"/>
    <s v="Sim"/>
    <s v="Sim"/>
    <s v="Teste da caneca, Pré-dipping, Pós-dipping, Linha de ordenha, Alimentação durante a ordenha"/>
    <s v="Sim"/>
    <s v="Sim"/>
    <s v="Sim"/>
    <s v="Sim"/>
    <s v="Sim"/>
    <m/>
    <m/>
    <s v="FIV/TE, Inseminação artificial/IATF"/>
    <s v="Sim"/>
    <s v="Sim"/>
    <m/>
    <m/>
    <x v="0"/>
    <x v="0"/>
    <s v="Ano todo"/>
    <s v="Sim"/>
    <s v="Cana-de-açúcar, Silagem de capim, Silagem de milho"/>
    <s v="Sim"/>
    <m/>
    <s v="Sim"/>
    <s v="Sim"/>
    <m/>
    <m/>
    <m/>
    <m/>
    <m/>
    <n v="24"/>
    <n v="3.25"/>
    <n v="2.8"/>
    <n v="3.25"/>
    <s v="Volume de leite entregue, Nível de CCS, Nível de CBT, Teor de gordura, Teor de proteína"/>
    <s v="Sim"/>
    <s v="Sim"/>
    <s v="Sim"/>
    <s v="Sim"/>
    <s v="Sim"/>
    <m/>
    <m/>
    <x v="0"/>
    <x v="0"/>
    <x v="1"/>
    <x v="0"/>
    <x v="0"/>
  </r>
  <r>
    <m/>
    <x v="5"/>
    <x v="0"/>
    <x v="1"/>
    <x v="0"/>
    <x v="1"/>
    <s v="Alvenaria"/>
    <s v="Não possui"/>
    <s v="Madeira"/>
    <s v="CAR - Cadastro Ambiental Rural, Cursos d’água/riacho/nascentes/mina, Vegetação nativa/mata/floresta, Área de preservação permanentes, Área de reserva legal, Serviço de telefonia"/>
    <s v="Sim"/>
    <s v="Sim"/>
    <s v="Sim"/>
    <s v="Sim"/>
    <s v="Sim"/>
    <m/>
    <m/>
    <s v="Sim"/>
    <n v="36"/>
    <n v="1"/>
    <x v="0"/>
    <x v="4"/>
    <x v="0"/>
    <n v="0"/>
    <n v="100"/>
    <n v="0"/>
    <n v="0"/>
    <n v="0"/>
    <n v="0"/>
    <n v="0"/>
    <n v="0"/>
    <n v="0"/>
    <n v="100"/>
    <n v="0"/>
    <x v="0"/>
    <n v="100"/>
    <n v="0"/>
    <n v="0"/>
    <n v="0"/>
    <n v="0"/>
    <n v="80"/>
    <n v="20"/>
    <n v="0"/>
    <s v="PRONAMPE"/>
    <m/>
    <m/>
    <m/>
    <s v="Sim"/>
    <m/>
    <m/>
    <m/>
    <m/>
    <m/>
    <m/>
    <x v="0"/>
    <x v="0"/>
    <s v="Por ser uma atividade lucrativa, Por proporcionar renda mensal, Tem mercado garantido"/>
    <m/>
    <s v="Sim"/>
    <s v="Sim"/>
    <m/>
    <m/>
    <s v="Sim"/>
    <m/>
    <m/>
    <m/>
    <s v="Falta de crédito rural, com taxas de juros compatíveis com a atividade, Instabilidade de políticas públicas"/>
    <m/>
    <m/>
    <s v="Sim"/>
    <m/>
    <m/>
    <m/>
    <m/>
    <s v="Sim"/>
    <m/>
    <m/>
    <m/>
    <m/>
    <s v="Qualidade genética dos animais, Alimentação do rebanho, Conhecimento de técnicas eficientes"/>
    <m/>
    <m/>
    <s v="Sim"/>
    <s v="Sim"/>
    <m/>
    <m/>
    <m/>
    <s v="Sim"/>
    <m/>
    <x v="0"/>
    <x v="2"/>
    <x v="0"/>
    <s v="PRONAMPE"/>
    <m/>
    <m/>
    <s v="Sim"/>
    <m/>
    <m/>
    <m/>
    <m/>
    <s v="Utilizou crédito"/>
    <m/>
    <m/>
    <m/>
    <m/>
    <m/>
    <s v="Sim"/>
    <n v="500"/>
    <n v="500"/>
    <n v="500"/>
    <n v="16.833333333333332"/>
    <n v="16"/>
    <n v="18"/>
    <n v="85"/>
    <n v="0"/>
    <n v="0"/>
    <n v="0"/>
    <n v="15"/>
    <m/>
    <n v="30"/>
    <x v="0"/>
    <x v="0"/>
    <x v="1"/>
    <n v="0.92054794520547945"/>
    <n v="3"/>
    <n v="3.9205479452054792"/>
    <n v="41"/>
    <n v="8"/>
    <n v="1"/>
    <n v="6"/>
    <n v="22"/>
    <n v="19"/>
    <n v="17"/>
    <n v="1"/>
    <n v="7"/>
    <n v="0"/>
    <n v="0"/>
    <n v="30"/>
    <n v="0"/>
    <n v="70"/>
    <n v="0"/>
    <n v="0"/>
    <n v="0"/>
    <n v="50"/>
    <n v="50"/>
    <n v="0"/>
    <n v="0"/>
    <n v="0"/>
    <n v="0"/>
    <n v="0"/>
    <n v="0"/>
    <x v="0"/>
    <x v="0"/>
    <x v="0"/>
    <x v="1"/>
    <x v="0"/>
    <x v="0"/>
    <x v="0"/>
    <n v="2"/>
    <n v="2"/>
    <s v="De 2 em 2 dias"/>
    <x v="1"/>
    <s v="Brachiaria, Panicum, Tifton"/>
    <s v="Sim"/>
    <s v="Sim"/>
    <m/>
    <m/>
    <m/>
    <m/>
    <m/>
    <s v="Sim"/>
    <m/>
    <s v="Correção e adubação do solo na implantação, Adubação anual de cobertura, Controle de plantas invasoras, Rotação de pastagens, Divisão em piquetes, Cerca elétrica nos piquetes"/>
    <s v="Sim"/>
    <m/>
    <m/>
    <s v="Sim"/>
    <s v="Sim"/>
    <s v="Sim"/>
    <m/>
    <m/>
    <x v="2"/>
    <s v="Produção de leite, Produtividade, Receitas, Despesas, Venda de animais"/>
    <s v="Sim"/>
    <s v="Sim"/>
    <s v="Sim"/>
    <s v="Sim"/>
    <m/>
    <s v="Sim"/>
    <m/>
    <x v="0"/>
    <x v="0"/>
    <n v="2.7"/>
    <s v="Assistência técnica"/>
    <s v="Sim"/>
    <m/>
    <m/>
    <m/>
    <m/>
    <m/>
    <n v="24"/>
    <s v="Planejamento da empresa rural, Sanidade do rebanho, Manejo do rebanho"/>
    <s v="Sim"/>
    <m/>
    <m/>
    <m/>
    <s v="Sim"/>
    <s v="Sim"/>
    <m/>
    <m/>
    <m/>
    <m/>
    <m/>
    <s v="Melhoramento genético"/>
    <m/>
    <m/>
    <m/>
    <m/>
    <m/>
    <m/>
    <s v="Sim"/>
    <m/>
    <m/>
    <m/>
    <m/>
    <n v="0"/>
    <n v="0"/>
    <n v="0"/>
    <n v="100"/>
    <n v="0"/>
    <s v="Aspersores ou nebulizadores"/>
    <m/>
    <m/>
    <m/>
    <m/>
    <m/>
    <m/>
    <m/>
    <m/>
    <m/>
    <m/>
    <x v="0"/>
    <x v="0"/>
    <s v="Picadeira, Misturador de ração"/>
    <s v="Sim"/>
    <m/>
    <m/>
    <m/>
    <m/>
    <m/>
    <m/>
    <m/>
    <m/>
    <s v="Sim"/>
    <x v="2"/>
    <s v="Plantio direto, Descarte adequado de embalagens (herbicida e defensivos)"/>
    <s v="Sim"/>
    <m/>
    <s v="Sim"/>
    <m/>
    <m/>
    <n v="10"/>
    <n v="2.5"/>
    <n v="100"/>
    <n v="29"/>
    <n v="13"/>
    <n v="8"/>
    <n v="0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Alimentação durante a ordenha, Alimentação após a ordenha"/>
    <s v="Sim"/>
    <s v="Sim"/>
    <s v="Sim"/>
    <m/>
    <s v="Sim"/>
    <s v="Sim"/>
    <m/>
    <s v="FIV/TE, Inseminação artificial/IATF"/>
    <s v="Sim"/>
    <s v="Sim"/>
    <m/>
    <m/>
    <x v="0"/>
    <x v="1"/>
    <s v="Ano todo"/>
    <s v="Sim"/>
    <s v="Cana-de-açúcar, Silagem de milho"/>
    <s v="Sim"/>
    <m/>
    <m/>
    <s v="Sim"/>
    <m/>
    <m/>
    <m/>
    <m/>
    <m/>
    <n v="1"/>
    <n v="2.93"/>
    <n v="2.2999999999999998"/>
    <n v="2.8"/>
    <s v="Volume de leite entregue, Nível de CCS, Nível de CBT, Teor de gordura, Teor de proteína"/>
    <s v="Sim"/>
    <s v="Sim"/>
    <s v="Sim"/>
    <s v="Sim"/>
    <s v="Sim"/>
    <m/>
    <m/>
    <x v="1"/>
    <x v="0"/>
    <x v="0"/>
    <x v="1"/>
    <x v="0"/>
  </r>
  <r>
    <m/>
    <x v="5"/>
    <x v="0"/>
    <x v="0"/>
    <x v="1"/>
    <x v="0"/>
    <s v="Alvenaria"/>
    <s v="Alvenaria"/>
    <s v="Alvenaria"/>
    <s v="CAR - Cadastro Ambiental Rural, Cursos d’água/riacho/nascentes/mina, Vegetação nativa/mata/floresta, Área de preservação permanentes"/>
    <s v="Sim"/>
    <s v="Sim"/>
    <s v="Sim"/>
    <s v="Sim"/>
    <m/>
    <m/>
    <m/>
    <m/>
    <n v="58"/>
    <n v="28"/>
    <x v="0"/>
    <x v="5"/>
    <x v="1"/>
    <n v="80"/>
    <n v="20"/>
    <n v="0"/>
    <n v="0"/>
    <n v="0"/>
    <n v="0"/>
    <n v="9"/>
    <n v="91"/>
    <n v="0"/>
    <n v="0"/>
    <n v="0"/>
    <x v="0"/>
    <n v="100"/>
    <n v="0"/>
    <n v="0"/>
    <n v="0"/>
    <n v="0"/>
    <n v="85"/>
    <n v="15"/>
    <n v="0"/>
    <s v="PRONAMPE"/>
    <m/>
    <m/>
    <m/>
    <s v="Sim"/>
    <m/>
    <m/>
    <m/>
    <m/>
    <m/>
    <m/>
    <x v="0"/>
    <x v="1"/>
    <s v="Por proporcionar renda mensal, Tem mercado garantido"/>
    <m/>
    <m/>
    <s v="Sim"/>
    <m/>
    <m/>
    <s v="Sim"/>
    <m/>
    <m/>
    <m/>
    <s v="Custo dos insumos, Instabilidade de políticas públicas"/>
    <m/>
    <m/>
    <m/>
    <m/>
    <m/>
    <s v="Sim"/>
    <m/>
    <s v="Sim"/>
    <m/>
    <m/>
    <m/>
    <m/>
    <s v="Qualidade genética dos animais, Manejo do rebanho, Reprodução do rebanho"/>
    <m/>
    <m/>
    <s v="Sim"/>
    <m/>
    <s v="Sim"/>
    <s v="Sim"/>
    <m/>
    <m/>
    <m/>
    <x v="2"/>
    <x v="3"/>
    <x v="0"/>
    <s v="PRONAMPE"/>
    <m/>
    <m/>
    <s v="Sim"/>
    <m/>
    <m/>
    <m/>
    <m/>
    <s v="Utilizou crédito"/>
    <m/>
    <m/>
    <m/>
    <m/>
    <m/>
    <s v="Sim"/>
    <n v="1500"/>
    <n v="1500"/>
    <n v="1500"/>
    <n v="28"/>
    <n v="28"/>
    <n v="28"/>
    <n v="97.4"/>
    <n v="0"/>
    <n v="0"/>
    <n v="0.1"/>
    <n v="2.5"/>
    <n v="40"/>
    <n v="46"/>
    <x v="0"/>
    <x v="0"/>
    <x v="1"/>
    <n v="1.2328767123287672"/>
    <n v="2"/>
    <n v="3.2328767123287672"/>
    <n v="56"/>
    <n v="11"/>
    <n v="7"/>
    <n v="0"/>
    <n v="16"/>
    <n v="19"/>
    <n v="0"/>
    <n v="1"/>
    <n v="0"/>
    <n v="0"/>
    <n v="0"/>
    <n v="0"/>
    <n v="0"/>
    <n v="100"/>
    <n v="0"/>
    <n v="0"/>
    <n v="0"/>
    <n v="0"/>
    <n v="0"/>
    <n v="0"/>
    <n v="100"/>
    <n v="0"/>
    <n v="0"/>
    <n v="0"/>
    <n v="0"/>
    <x v="0"/>
    <x v="0"/>
    <x v="0"/>
    <x v="0"/>
    <x v="0"/>
    <x v="0"/>
    <x v="0"/>
    <n v="3"/>
    <n v="3"/>
    <s v="De 2 em 2 dias"/>
    <x v="1"/>
    <s v="Brachiaria"/>
    <s v="Sim"/>
    <m/>
    <m/>
    <m/>
    <m/>
    <m/>
    <m/>
    <m/>
    <m/>
    <s v="Correção e adubação do solo na implantação, Controle de plantas invasoras, Rotação de pastagens, Divisão em piquetes"/>
    <s v="Sim"/>
    <m/>
    <m/>
    <s v="Sim"/>
    <s v="Sim"/>
    <m/>
    <m/>
    <m/>
    <x v="2"/>
    <s v="Não estabelece metas"/>
    <m/>
    <m/>
    <m/>
    <m/>
    <m/>
    <m/>
    <s v="Sim"/>
    <x v="0"/>
    <x v="0"/>
    <n v="2.1"/>
    <s v="Assistência técnica, Treinamento (curso, palestra, etc.), Outras mídias sociais"/>
    <s v="Sim"/>
    <m/>
    <s v="Sim"/>
    <m/>
    <m/>
    <s v="Sim"/>
    <n v="24"/>
    <s v="Alimentação do rebanho, Melhoramento genético, Qualidade do leite"/>
    <m/>
    <m/>
    <m/>
    <s v="Sim"/>
    <m/>
    <m/>
    <s v="Sim"/>
    <m/>
    <m/>
    <s v="Sim"/>
    <m/>
    <s v="Mercado do leite"/>
    <m/>
    <m/>
    <s v="Sim"/>
    <m/>
    <m/>
    <m/>
    <m/>
    <m/>
    <m/>
    <m/>
    <m/>
    <n v="0"/>
    <n v="100"/>
    <n v="0"/>
    <n v="0"/>
    <n v="0"/>
    <s v="Galpão coberto, Sombrite ou tela de sombreamento, Cobertura vegetal (árvores, sombra natural), Ventiladores mecânicos, Bebedouros"/>
    <s v="Sim"/>
    <s v="Sim"/>
    <s v="Sim"/>
    <m/>
    <s v="Sim"/>
    <m/>
    <m/>
    <s v="Sim"/>
    <m/>
    <m/>
    <x v="0"/>
    <x v="0"/>
    <s v="Trator, Vagão forrageiro, Misturador de ração"/>
    <m/>
    <m/>
    <s v="Sim"/>
    <s v="Sim"/>
    <m/>
    <m/>
    <m/>
    <m/>
    <m/>
    <s v="Sim"/>
    <x v="1"/>
    <s v="Plantio direto, Cobertura do solo, Rotação de culturas"/>
    <s v="Sim"/>
    <s v="Sim"/>
    <m/>
    <m/>
    <s v="Sim"/>
    <n v="0"/>
    <n v="3"/>
    <n v="120"/>
    <n v="30"/>
    <n v="13"/>
    <n v="3"/>
    <n v="1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Inseminação artificial/IATF, Natural controlada"/>
    <m/>
    <s v="Sim"/>
    <s v="Sim"/>
    <m/>
    <x v="0"/>
    <x v="1"/>
    <s v="Ano todo"/>
    <s v="Sim"/>
    <s v="Silagem de milho"/>
    <m/>
    <m/>
    <m/>
    <s v="Sim"/>
    <m/>
    <m/>
    <m/>
    <m/>
    <m/>
    <n v="20"/>
    <n v="2.56"/>
    <n v="2.2999999999999998"/>
    <n v="2.7"/>
    <s v="Volume de leite entregue, Nível de CCS, Nível de CBT, Teor de gordura"/>
    <s v="Sim"/>
    <s v="Sim"/>
    <s v="Sim"/>
    <s v="Sim"/>
    <m/>
    <m/>
    <m/>
    <x v="0"/>
    <x v="0"/>
    <x v="0"/>
    <x v="1"/>
    <x v="2"/>
  </r>
  <r>
    <m/>
    <x v="3"/>
    <x v="0"/>
    <x v="4"/>
    <x v="0"/>
    <x v="1"/>
    <s v="Alvenaria"/>
    <s v="Não possui"/>
    <s v="Mista"/>
    <s v="CAR - Cadastro Ambiental Rural, Cursos d’água/riacho/nascentes/mina, Vegetação nativa/mata/floresta, Área de preservação permanentes, Área de reserva legal"/>
    <s v="Sim"/>
    <s v="Sim"/>
    <s v="Sim"/>
    <s v="Sim"/>
    <s v="Sim"/>
    <m/>
    <m/>
    <m/>
    <n v="41"/>
    <n v="18"/>
    <x v="0"/>
    <x v="2"/>
    <x v="1"/>
    <n v="96"/>
    <n v="4"/>
    <n v="0"/>
    <n v="0"/>
    <n v="0"/>
    <n v="0"/>
    <n v="50"/>
    <n v="50"/>
    <n v="0"/>
    <n v="0"/>
    <n v="0"/>
    <x v="1"/>
    <n v="90"/>
    <n v="3"/>
    <n v="0"/>
    <n v="7"/>
    <n v="0"/>
    <n v="80"/>
    <n v="20"/>
    <n v="0"/>
    <s v="Não recebe benefício do governo"/>
    <m/>
    <m/>
    <m/>
    <m/>
    <m/>
    <m/>
    <m/>
    <m/>
    <m/>
    <s v="Sim"/>
    <x v="2"/>
    <x v="1"/>
    <s v="Por gostar, Por ser uma atividade lucrativa, Tem mercado garantido"/>
    <s v="Sim"/>
    <s v="Sim"/>
    <m/>
    <m/>
    <m/>
    <s v="Sim"/>
    <m/>
    <m/>
    <m/>
    <s v="Custo dos insumos, Deficiência na infraestrutura de transporte/estradas"/>
    <m/>
    <m/>
    <m/>
    <m/>
    <m/>
    <s v="Sim"/>
    <s v="Sim"/>
    <m/>
    <m/>
    <m/>
    <m/>
    <m/>
    <s v="Alimentação do rebanho, Reprodução do rebanho"/>
    <m/>
    <m/>
    <m/>
    <s v="Sim"/>
    <m/>
    <s v="Sim"/>
    <m/>
    <m/>
    <m/>
    <x v="0"/>
    <x v="2"/>
    <x v="1"/>
    <s v="Não utilizou crédito"/>
    <m/>
    <m/>
    <m/>
    <m/>
    <m/>
    <m/>
    <s v="Sim"/>
    <s v="Não precisou de crédito"/>
    <m/>
    <m/>
    <m/>
    <m/>
    <s v="Sim"/>
    <m/>
    <n v="658.33333333333337"/>
    <n v="600"/>
    <n v="700"/>
    <n v="19.541666666666668"/>
    <n v="17.5"/>
    <n v="21"/>
    <n v="90"/>
    <n v="1"/>
    <n v="0"/>
    <n v="1"/>
    <n v="8"/>
    <n v="96"/>
    <n v="48"/>
    <x v="0"/>
    <x v="0"/>
    <x v="1"/>
    <n v="1.2328767123287672"/>
    <n v="3"/>
    <n v="4.2328767123287676"/>
    <n v="34"/>
    <n v="4"/>
    <n v="2"/>
    <n v="10"/>
    <n v="29"/>
    <n v="6"/>
    <n v="0"/>
    <n v="0"/>
    <n v="2"/>
    <n v="0"/>
    <n v="25"/>
    <n v="0"/>
    <n v="0"/>
    <n v="70"/>
    <n v="0"/>
    <n v="5"/>
    <n v="0"/>
    <n v="0"/>
    <n v="70"/>
    <n v="0"/>
    <n v="0"/>
    <n v="30"/>
    <n v="0"/>
    <n v="0"/>
    <n v="0"/>
    <x v="0"/>
    <x v="0"/>
    <x v="0"/>
    <x v="0"/>
    <x v="0"/>
    <x v="0"/>
    <x v="0"/>
    <n v="2"/>
    <n v="2"/>
    <s v="De 2 em 2 dias"/>
    <x v="1"/>
    <s v="Brachiaria, Tifton"/>
    <s v="Sim"/>
    <m/>
    <m/>
    <m/>
    <m/>
    <m/>
    <m/>
    <s v="Sim"/>
    <m/>
    <s v="Controle de plantas invasoras"/>
    <m/>
    <m/>
    <m/>
    <m/>
    <m/>
    <m/>
    <m/>
    <m/>
    <x v="2"/>
    <s v="Produção de leite, Produtividade, Venda de genética"/>
    <s v="Sim"/>
    <s v="Sim"/>
    <m/>
    <m/>
    <s v="Sim"/>
    <m/>
    <m/>
    <x v="0"/>
    <x v="0"/>
    <n v="1.95"/>
    <s v="Assistência técnica, Treinamento (curso, palestra, etc.), Outras mídias sociais"/>
    <s v="Sim"/>
    <m/>
    <s v="Sim"/>
    <m/>
    <m/>
    <s v="Sim"/>
    <n v="15"/>
    <s v="Cálculo do custo de produção, Alimentação do rebanho, Sanidade do rebanho"/>
    <m/>
    <s v="Sim"/>
    <m/>
    <s v="Sim"/>
    <s v="Sim"/>
    <m/>
    <m/>
    <m/>
    <m/>
    <m/>
    <m/>
    <s v="Mercado do leite, Produção de leite e meio ambiente"/>
    <m/>
    <m/>
    <s v="Sim"/>
    <m/>
    <m/>
    <m/>
    <m/>
    <m/>
    <s v="Sim"/>
    <m/>
    <m/>
    <n v="0"/>
    <n v="0"/>
    <n v="100"/>
    <n v="0"/>
    <n v="0"/>
    <s v="Cobertura vegetal (árvores, sombra natural), Ventiladores mecânicos, Aspersores ou nebulizadores, Sistema de resfriamento evaporativo, Bebedouros"/>
    <m/>
    <m/>
    <s v="Sim"/>
    <m/>
    <s v="Sim"/>
    <m/>
    <s v="Sim"/>
    <s v="Sim"/>
    <m/>
    <m/>
    <x v="0"/>
    <x v="1"/>
    <s v="Picadeira, Trator, Plantadeira, Grade, Ensiladeira, Distribuidor de calcário, Misturador de ração"/>
    <s v="Sim"/>
    <m/>
    <s v="Sim"/>
    <m/>
    <s v="Sim"/>
    <s v="Sim"/>
    <m/>
    <s v="Sim"/>
    <s v="Sim"/>
    <s v="Sim"/>
    <x v="1"/>
    <s v="Descarte adequado de embalagens (herbicida e defensivos), Tratamento de efluentes da residência, Rotação de culturas"/>
    <m/>
    <m/>
    <s v="Sim"/>
    <s v="Sim"/>
    <s v="Sim"/>
    <n v="18"/>
    <n v="2.5"/>
    <n v="110"/>
    <n v="26"/>
    <n v="14"/>
    <n v="2"/>
    <n v="2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Linha de ordenha, Alimentação após a ordenha"/>
    <s v="Sim"/>
    <s v="Sim"/>
    <s v="Sim"/>
    <s v="Sim"/>
    <m/>
    <s v="Sim"/>
    <m/>
    <s v="Inseminação artificial/IATF"/>
    <m/>
    <s v="Sim"/>
    <m/>
    <m/>
    <x v="1"/>
    <x v="0"/>
    <s v="Ano todo"/>
    <s v="Sim"/>
    <s v="Capineira, Silagem de milho"/>
    <m/>
    <s v="Sim"/>
    <m/>
    <s v="Sim"/>
    <m/>
    <m/>
    <m/>
    <m/>
    <m/>
    <n v="7"/>
    <n v="2.5099999999999998"/>
    <n v="2"/>
    <n v="2.7"/>
    <s v="Nível de CCS, Nível de CBT, Teor de gordura, Teor de proteína"/>
    <m/>
    <s v="Sim"/>
    <s v="Sim"/>
    <s v="Sim"/>
    <s v="Sim"/>
    <m/>
    <m/>
    <x v="0"/>
    <x v="0"/>
    <x v="0"/>
    <x v="1"/>
    <x v="0"/>
  </r>
  <r>
    <m/>
    <x v="4"/>
    <x v="1"/>
    <x v="4"/>
    <x v="0"/>
    <x v="0"/>
    <s v="Alvenaria"/>
    <s v="Alvenaria"/>
    <s v="Madeira"/>
    <s v="CAR - Cadastro Ambiental Rural, Cursos d’água/riacho/nascentes/mina, Vegetação nativa/mata/floresta, Área de preservação permanentes, Área de reserva legal, Serviço de água potável, Serviço de telefonia"/>
    <s v="Sim"/>
    <s v="Sim"/>
    <s v="Sim"/>
    <s v="Sim"/>
    <s v="Sim"/>
    <s v="Sim"/>
    <m/>
    <s v="Sim"/>
    <n v="51"/>
    <n v="35"/>
    <x v="0"/>
    <x v="3"/>
    <x v="1"/>
    <n v="60"/>
    <n v="40"/>
    <n v="0"/>
    <n v="0"/>
    <n v="0"/>
    <n v="0"/>
    <n v="60"/>
    <n v="40"/>
    <n v="0"/>
    <n v="0"/>
    <n v="0"/>
    <x v="0"/>
    <n v="95"/>
    <n v="5"/>
    <n v="0"/>
    <n v="0"/>
    <n v="0"/>
    <n v="100"/>
    <n v="0"/>
    <n v="0"/>
    <s v="PRONAF"/>
    <m/>
    <m/>
    <s v="Sim"/>
    <m/>
    <m/>
    <m/>
    <m/>
    <m/>
    <m/>
    <m/>
    <x v="0"/>
    <x v="0"/>
    <s v="Por proporcionar renda mensal, A atividade leiteira é uma tradição na família, Combina com outras explorações da propriedade"/>
    <m/>
    <m/>
    <s v="Sim"/>
    <s v="Sim"/>
    <s v="Sim"/>
    <m/>
    <m/>
    <m/>
    <m/>
    <s v="Falta de mão de obra, Falta de crédito rural, com taxas de juros compatíveis com a atividade, Instabilidade de políticas públicas"/>
    <s v="Sim"/>
    <m/>
    <s v="Sim"/>
    <m/>
    <m/>
    <m/>
    <m/>
    <s v="Sim"/>
    <m/>
    <m/>
    <m/>
    <m/>
    <s v="Qualidade genética dos animais, Alimentação do rebanho, Preço do leite"/>
    <m/>
    <m/>
    <s v="Sim"/>
    <s v="Sim"/>
    <m/>
    <m/>
    <s v="Sim"/>
    <m/>
    <m/>
    <x v="0"/>
    <x v="4"/>
    <x v="0"/>
    <s v="PRONAMPE"/>
    <m/>
    <m/>
    <s v="Sim"/>
    <m/>
    <m/>
    <m/>
    <m/>
    <s v="Utilizou crédito"/>
    <m/>
    <m/>
    <m/>
    <m/>
    <m/>
    <s v="Sim"/>
    <n v="1000"/>
    <n v="1000"/>
    <n v="1000"/>
    <n v="19"/>
    <n v="19"/>
    <n v="19"/>
    <n v="90"/>
    <n v="0"/>
    <n v="0"/>
    <n v="2"/>
    <n v="8"/>
    <n v="52"/>
    <n v="37"/>
    <x v="0"/>
    <x v="0"/>
    <x v="0"/>
    <n v="4.0767123287671234"/>
    <n v="1"/>
    <n v="5.0767123287671234"/>
    <n v="55"/>
    <n v="11"/>
    <n v="9"/>
    <n v="1"/>
    <n v="26"/>
    <n v="7"/>
    <n v="0"/>
    <n v="0"/>
    <n v="0"/>
    <n v="0"/>
    <n v="0"/>
    <n v="0"/>
    <n v="0"/>
    <n v="100"/>
    <n v="0"/>
    <n v="0"/>
    <n v="0"/>
    <n v="0"/>
    <n v="0"/>
    <n v="50"/>
    <n v="0"/>
    <n v="50"/>
    <n v="0"/>
    <n v="0"/>
    <n v="0"/>
    <x v="0"/>
    <x v="0"/>
    <x v="0"/>
    <x v="0"/>
    <x v="0"/>
    <x v="0"/>
    <x v="0"/>
    <n v="2"/>
    <n v="2"/>
    <s v="De 2 em 2 dias"/>
    <x v="0"/>
    <s v="Brachiaria, Capim-elefante"/>
    <s v="Sim"/>
    <m/>
    <s v="Sim"/>
    <m/>
    <m/>
    <m/>
    <m/>
    <m/>
    <m/>
    <s v="Correção e adubação do solo na implantação, Adubação anual de cobertura, Controle de plantas invasoras"/>
    <s v="Sim"/>
    <m/>
    <m/>
    <m/>
    <m/>
    <m/>
    <m/>
    <m/>
    <x v="0"/>
    <s v="Produção de leite, Produtividade, Receitas, Despesas"/>
    <s v="Sim"/>
    <s v="Sim"/>
    <s v="Sim"/>
    <s v="Sim"/>
    <m/>
    <m/>
    <m/>
    <x v="0"/>
    <x v="0"/>
    <n v="2.37"/>
    <s v="Assistência técnica"/>
    <s v="Sim"/>
    <m/>
    <m/>
    <m/>
    <m/>
    <m/>
    <n v="36"/>
    <s v="Alimentação do rebanho, Sanidade do rebanho, Qualidade do leite"/>
    <m/>
    <m/>
    <m/>
    <s v="Sim"/>
    <s v="Sim"/>
    <m/>
    <m/>
    <m/>
    <m/>
    <s v="Sim"/>
    <m/>
    <s v="Planejamento da empresa rural, Mercado do leite, Melhoramento genético"/>
    <s v="Sim"/>
    <m/>
    <s v="Sim"/>
    <m/>
    <m/>
    <m/>
    <s v="Sim"/>
    <m/>
    <m/>
    <m/>
    <m/>
    <n v="0"/>
    <n v="100"/>
    <n v="0"/>
    <n v="0"/>
    <n v="0"/>
    <s v="Galpão coberto, Exaustores ou sistemas de ventilação forçada, Ventiladores mecânicos, Bebedouros"/>
    <s v="Sim"/>
    <m/>
    <m/>
    <s v="Sim"/>
    <s v="Sim"/>
    <m/>
    <m/>
    <s v="Sim"/>
    <m/>
    <m/>
    <x v="0"/>
    <x v="0"/>
    <s v="Picadeira, Trator, Plantadeira, Grade, Ensiladeira, Misturador de ração"/>
    <s v="Sim"/>
    <m/>
    <s v="Sim"/>
    <m/>
    <s v="Sim"/>
    <s v="Sim"/>
    <m/>
    <s v="Sim"/>
    <m/>
    <s v="Sim"/>
    <x v="3"/>
    <s v="Plantio direto, Cobertura do solo, Descarte adequado de embalagens (herbicida e defensivos)"/>
    <s v="Sim"/>
    <s v="Sim"/>
    <s v="Sim"/>
    <m/>
    <m/>
    <n v="1"/>
    <n v="3"/>
    <n v="100"/>
    <n v="27"/>
    <n v="14"/>
    <n v="3"/>
    <n v="0"/>
    <s v="Manqueira, Brucelose, Raiva, Vermifugação, IBR/BVD, Leptospirose"/>
    <s v="Sim"/>
    <s v="Sim"/>
    <m/>
    <s v="Sim"/>
    <m/>
    <m/>
    <s v="Sim"/>
    <m/>
    <s v="Sim"/>
    <s v="Sim"/>
    <s v="Teste da caneca, Pré-dipping, Pós-dipping, Alimentação após a ordenha, Identificação de animais tratados com antibiótico"/>
    <s v="Sim"/>
    <s v="Sim"/>
    <s v="Sim"/>
    <m/>
    <m/>
    <s v="Sim"/>
    <s v="Sim"/>
    <s v="Inseminação artificial/IATF"/>
    <m/>
    <s v="Sim"/>
    <m/>
    <m/>
    <x v="0"/>
    <x v="0"/>
    <s v="Ano todo"/>
    <s v="Sim"/>
    <s v="Capineira, Silagem de milho"/>
    <m/>
    <s v="Sim"/>
    <m/>
    <s v="Sim"/>
    <m/>
    <m/>
    <m/>
    <m/>
    <m/>
    <n v="4"/>
    <n v="2.5"/>
    <n v="2.2000000000000002"/>
    <n v="2.5"/>
    <s v="Volume de leite entregue, Nível de CCS, Nível de CBT"/>
    <s v="Sim"/>
    <s v="Sim"/>
    <s v="Sim"/>
    <m/>
    <m/>
    <m/>
    <m/>
    <x v="0"/>
    <x v="0"/>
    <x v="1"/>
    <x v="1"/>
    <x v="0"/>
  </r>
  <r>
    <m/>
    <x v="6"/>
    <x v="0"/>
    <x v="0"/>
    <x v="0"/>
    <x v="1"/>
    <s v="Mista"/>
    <s v="Mista"/>
    <s v="Mista"/>
    <s v="CAR - Cadastro Ambiental Rural, Cursos d’água/riacho/nascentes/mina, Vegetação nativa/mata/floresta, Área de preservação permanentes, Área de reserva legal, Serviço de água potável, Serviço de esgoto doméstico tratado, Serviço de telefonia"/>
    <s v="Sim"/>
    <s v="Sim"/>
    <s v="Sim"/>
    <s v="Sim"/>
    <s v="Sim"/>
    <s v="Sim"/>
    <s v="Sim"/>
    <s v="Sim"/>
    <n v="63"/>
    <n v="50"/>
    <x v="0"/>
    <x v="2"/>
    <x v="1"/>
    <n v="70"/>
    <n v="30"/>
    <n v="0"/>
    <n v="0"/>
    <n v="0"/>
    <n v="0"/>
    <n v="100"/>
    <n v="0"/>
    <n v="0"/>
    <n v="0"/>
    <n v="0"/>
    <x v="0"/>
    <n v="50"/>
    <n v="0"/>
    <n v="0"/>
    <n v="0"/>
    <n v="50"/>
    <n v="60"/>
    <n v="20"/>
    <n v="20"/>
    <s v="Não recebe benefício do governo"/>
    <m/>
    <m/>
    <m/>
    <m/>
    <m/>
    <m/>
    <m/>
    <m/>
    <m/>
    <s v="Sim"/>
    <x v="0"/>
    <x v="1"/>
    <s v="Por gostar, Por ser uma atividade lucrativa, A atividade leiteira é uma tradição na família"/>
    <s v="Sim"/>
    <s v="Sim"/>
    <m/>
    <s v="Sim"/>
    <m/>
    <m/>
    <m/>
    <m/>
    <m/>
    <s v="Falta de mão de obra, Falta de crédito rural, com taxas de juros compatíveis com a atividade, Custo dos insumos"/>
    <s v="Sim"/>
    <m/>
    <s v="Sim"/>
    <m/>
    <m/>
    <s v="Sim"/>
    <m/>
    <m/>
    <m/>
    <m/>
    <m/>
    <m/>
    <s v="Sanidade do rebanho, Alimentação do rebanho, Manejo do rebanho"/>
    <m/>
    <s v="Sim"/>
    <m/>
    <s v="Sim"/>
    <s v="Sim"/>
    <m/>
    <m/>
    <m/>
    <m/>
    <x v="0"/>
    <x v="0"/>
    <x v="0"/>
    <s v="PRONAMPE"/>
    <m/>
    <m/>
    <s v="Sim"/>
    <m/>
    <m/>
    <m/>
    <m/>
    <s v="Utilizou crédito"/>
    <m/>
    <m/>
    <m/>
    <m/>
    <m/>
    <s v="Sim"/>
    <n v="1155"/>
    <n v="1160"/>
    <n v="1150"/>
    <n v="21"/>
    <n v="21"/>
    <n v="21"/>
    <n v="93"/>
    <n v="0"/>
    <n v="0"/>
    <n v="2"/>
    <n v="5"/>
    <n v="38"/>
    <n v="30"/>
    <x v="0"/>
    <x v="0"/>
    <x v="0"/>
    <n v="0.5547945205479452"/>
    <n v="3.1643835616438354"/>
    <n v="3.7191780821917808"/>
    <n v="45"/>
    <n v="15"/>
    <n v="21"/>
    <n v="2"/>
    <n v="45"/>
    <n v="24"/>
    <n v="0"/>
    <n v="0"/>
    <n v="1"/>
    <n v="0"/>
    <n v="0"/>
    <n v="60"/>
    <n v="0"/>
    <n v="20"/>
    <n v="0"/>
    <n v="20"/>
    <n v="0"/>
    <n v="0"/>
    <n v="0"/>
    <n v="60"/>
    <n v="0"/>
    <n v="30"/>
    <n v="0"/>
    <n v="10"/>
    <n v="0"/>
    <x v="0"/>
    <x v="0"/>
    <x v="0"/>
    <x v="0"/>
    <x v="0"/>
    <x v="0"/>
    <x v="0"/>
    <n v="2"/>
    <n v="2"/>
    <s v="De 2 em 2 dias"/>
    <x v="1"/>
    <s v="Brachiaria, Capim-elefante"/>
    <s v="Sim"/>
    <m/>
    <s v="Sim"/>
    <m/>
    <m/>
    <m/>
    <m/>
    <m/>
    <m/>
    <s v="Correção e adubação do solo na implantação, Adubação anual de cobertura, Divisão em piquetes, Cerca elétrica nos piquetes"/>
    <s v="Sim"/>
    <m/>
    <m/>
    <m/>
    <s v="Sim"/>
    <s v="Sim"/>
    <m/>
    <m/>
    <x v="0"/>
    <s v="Produção de leite, Produtividade, Receitas, Despesas"/>
    <s v="Sim"/>
    <s v="Sim"/>
    <s v="Sim"/>
    <s v="Sim"/>
    <m/>
    <m/>
    <m/>
    <x v="0"/>
    <x v="0"/>
    <n v="2.2000000000000002"/>
    <s v="Assistência técnica, Vizinho, amigo ou parente"/>
    <s v="Sim"/>
    <s v="Sim"/>
    <m/>
    <m/>
    <m/>
    <m/>
    <n v="36"/>
    <s v="Cálculo do custo de produção, Sanidade do rebanho, Qualidade do leite"/>
    <m/>
    <s v="Sim"/>
    <m/>
    <m/>
    <s v="Sim"/>
    <m/>
    <m/>
    <m/>
    <m/>
    <s v="Sim"/>
    <m/>
    <s v="Planejamento da empresa rural, Cálculo do custo de produção, Melhoramento genético"/>
    <s v="Sim"/>
    <s v="Sim"/>
    <m/>
    <m/>
    <m/>
    <m/>
    <s v="Sim"/>
    <m/>
    <m/>
    <m/>
    <m/>
    <n v="0"/>
    <n v="0"/>
    <n v="100"/>
    <n v="0"/>
    <n v="0"/>
    <s v="Sombrite ou tela de sombreamento, Cobertura vegetal (árvores, sombra natural), Exaustores ou sistemas de ventilação forçada, Ventiladores mecânicos, Aspersores ou nebulizadores, Sistema de resfriamento evaporativo, Bebedouros"/>
    <m/>
    <s v="Sim"/>
    <s v="Sim"/>
    <s v="Sim"/>
    <s v="Sim"/>
    <m/>
    <s v="Sim"/>
    <s v="Sim"/>
    <m/>
    <m/>
    <x v="0"/>
    <x v="0"/>
    <s v="Picadeira, Trator, Misturador de ração"/>
    <s v="Sim"/>
    <m/>
    <s v="Sim"/>
    <m/>
    <m/>
    <m/>
    <m/>
    <m/>
    <m/>
    <s v="Sim"/>
    <x v="1"/>
    <s v="Plantio direto, Cobertura do solo, Descarte adequado de embalagens (herbicida e defensivos), Tratamento de efluentes da residência, Rotação de culturas"/>
    <s v="Sim"/>
    <s v="Sim"/>
    <s v="Sim"/>
    <s v="Sim"/>
    <s v="Sim"/>
    <n v="0"/>
    <n v="3"/>
    <n v="100"/>
    <n v="27"/>
    <n v="419"/>
    <n v="2"/>
    <n v="1"/>
    <s v="Manqueira, Brucelose, Raiva, Vermifugação, Carrapaticida, IBR/BVD, Leptospirose"/>
    <s v="Sim"/>
    <s v="Sim"/>
    <m/>
    <s v="Sim"/>
    <m/>
    <m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FIV/TE, Inseminação artificial/IATF"/>
    <s v="Sim"/>
    <s v="Sim"/>
    <m/>
    <m/>
    <x v="0"/>
    <x v="0"/>
    <s v="Ano todo"/>
    <s v="Sim"/>
    <s v="Cana-de-açúcar, Capineira, Silagem de capim, Silagem de milho"/>
    <s v="Sim"/>
    <s v="Sim"/>
    <s v="Sim"/>
    <s v="Sim"/>
    <m/>
    <m/>
    <m/>
    <m/>
    <m/>
    <n v="20"/>
    <n v="3.15"/>
    <n v="2.9"/>
    <n v="3"/>
    <s v="Nível de CCS, Nível de CBT, Teor de gordura, Teor de proteína"/>
    <m/>
    <s v="Sim"/>
    <s v="Sim"/>
    <s v="Sim"/>
    <s v="Sim"/>
    <m/>
    <m/>
    <x v="0"/>
    <x v="0"/>
    <x v="0"/>
    <x v="0"/>
    <x v="0"/>
  </r>
  <r>
    <m/>
    <x v="7"/>
    <x v="1"/>
    <x v="0"/>
    <x v="0"/>
    <x v="0"/>
    <s v="Mista"/>
    <s v="Não possui"/>
    <s v="Alvenaria"/>
    <s v="CAR - Cadastro Ambiental Rural, Área de preservação permanentes, Área de reserva legal"/>
    <s v="Sim"/>
    <m/>
    <m/>
    <s v="Sim"/>
    <s v="Sim"/>
    <m/>
    <m/>
    <m/>
    <n v="40"/>
    <n v="22"/>
    <x v="0"/>
    <x v="1"/>
    <x v="1"/>
    <n v="20"/>
    <n v="80"/>
    <n v="0"/>
    <n v="0"/>
    <n v="0"/>
    <n v="0"/>
    <n v="0"/>
    <n v="0"/>
    <n v="0"/>
    <n v="0"/>
    <n v="100"/>
    <x v="0"/>
    <n v="100"/>
    <n v="0"/>
    <n v="0"/>
    <n v="0"/>
    <n v="0"/>
    <n v="99"/>
    <n v="1"/>
    <n v="0"/>
    <s v="PRONAF"/>
    <m/>
    <m/>
    <s v="Sim"/>
    <m/>
    <m/>
    <m/>
    <m/>
    <m/>
    <m/>
    <m/>
    <x v="1"/>
    <x v="1"/>
    <s v="Por gostar, Por proporcionar renda mensal"/>
    <s v="Sim"/>
    <m/>
    <s v="Sim"/>
    <m/>
    <m/>
    <m/>
    <m/>
    <m/>
    <m/>
    <s v="Falta de mão de obra, Instabilidade de políticas públicas"/>
    <s v="Sim"/>
    <m/>
    <m/>
    <m/>
    <m/>
    <m/>
    <m/>
    <s v="Sim"/>
    <m/>
    <m/>
    <m/>
    <m/>
    <s v="Qualidade genética dos animais, Alimentação do rebanho, Manejo do rebanho"/>
    <m/>
    <m/>
    <s v="Sim"/>
    <s v="Sim"/>
    <s v="Sim"/>
    <m/>
    <m/>
    <m/>
    <m/>
    <x v="0"/>
    <x v="0"/>
    <x v="1"/>
    <s v="Não utilizou crédito"/>
    <m/>
    <m/>
    <m/>
    <m/>
    <m/>
    <m/>
    <s v="Sim"/>
    <s v="Não precisou de crédito"/>
    <m/>
    <m/>
    <m/>
    <m/>
    <s v="Sim"/>
    <m/>
    <n v="1916.6666666666667"/>
    <n v="1800"/>
    <n v="2000"/>
    <n v="32.916666666666664"/>
    <n v="30"/>
    <n v="35"/>
    <n v="91.9"/>
    <n v="0"/>
    <n v="0"/>
    <n v="0.1"/>
    <n v="8"/>
    <n v="6"/>
    <n v="0.17"/>
    <x v="0"/>
    <x v="0"/>
    <x v="1"/>
    <n v="1.4794520547945205"/>
    <n v="2"/>
    <n v="3.4794520547945202"/>
    <n v="70"/>
    <n v="7"/>
    <n v="14"/>
    <n v="0"/>
    <n v="36"/>
    <n v="35"/>
    <n v="0"/>
    <n v="0"/>
    <n v="0"/>
    <n v="0"/>
    <n v="0"/>
    <n v="0"/>
    <n v="0"/>
    <n v="100"/>
    <n v="0"/>
    <n v="0"/>
    <n v="0"/>
    <n v="0"/>
    <n v="0"/>
    <n v="0"/>
    <n v="100"/>
    <n v="0"/>
    <n v="0"/>
    <n v="0"/>
    <n v="0"/>
    <x v="0"/>
    <x v="1"/>
    <x v="0"/>
    <x v="1"/>
    <x v="0"/>
    <x v="0"/>
    <x v="0"/>
    <n v="2"/>
    <n v="2"/>
    <s v="De 2 em 2 dias"/>
    <x v="2"/>
    <s v="Não tem pastagem plantada"/>
    <m/>
    <m/>
    <m/>
    <m/>
    <m/>
    <m/>
    <m/>
    <m/>
    <s v="Sim"/>
    <s v="Não utiliza pastagens"/>
    <m/>
    <m/>
    <m/>
    <m/>
    <m/>
    <m/>
    <m/>
    <s v="Sim"/>
    <x v="2"/>
    <s v="Produtividade, Receitas, Despesas"/>
    <m/>
    <s v="Sim"/>
    <s v="Sim"/>
    <s v="Sim"/>
    <m/>
    <m/>
    <m/>
    <x v="1"/>
    <x v="0"/>
    <n v="2"/>
    <s v="Assistência técnica"/>
    <s v="Sim"/>
    <m/>
    <m/>
    <m/>
    <m/>
    <m/>
    <n v="36"/>
    <s v="Cálculo do custo de produção, Alimentação do rebanho, Sanidade do rebanho"/>
    <m/>
    <s v="Sim"/>
    <m/>
    <s v="Sim"/>
    <s v="Sim"/>
    <m/>
    <m/>
    <m/>
    <m/>
    <m/>
    <m/>
    <s v="Mercado do leite"/>
    <m/>
    <m/>
    <s v="Sim"/>
    <m/>
    <m/>
    <m/>
    <m/>
    <m/>
    <m/>
    <m/>
    <m/>
    <n v="0"/>
    <n v="100"/>
    <n v="0"/>
    <n v="0"/>
    <n v="0"/>
    <s v="Galpão coberto, Ventiladores mecânicos, Bebedouros"/>
    <s v="Sim"/>
    <m/>
    <m/>
    <m/>
    <s v="Sim"/>
    <m/>
    <m/>
    <s v="Sim"/>
    <m/>
    <m/>
    <x v="0"/>
    <x v="1"/>
    <s v="Picadeira, Trator, Vagão forrageiro"/>
    <s v="Sim"/>
    <m/>
    <s v="Sim"/>
    <s v="Sim"/>
    <m/>
    <m/>
    <m/>
    <m/>
    <m/>
    <m/>
    <x v="1"/>
    <s v="Descarte adequado de embalagens (herbicida e defensivos)"/>
    <m/>
    <m/>
    <s v="Sim"/>
    <m/>
    <m/>
    <n v="0"/>
    <n v="3"/>
    <n v="90"/>
    <n v="21"/>
    <n v="14"/>
    <n v="2"/>
    <n v="1"/>
    <s v="Manqueira, Brucelose, Raiva, Enterotoxemia, Botulismo, Vermifugação, IBR/BVD, Leptospirose"/>
    <s v="Sim"/>
    <s v="Sim"/>
    <m/>
    <s v="Sim"/>
    <s v="Sim"/>
    <s v="Sim"/>
    <s v="Sim"/>
    <m/>
    <s v="Sim"/>
    <s v="Sim"/>
    <s v="Pré-dipping, Pós-dipping"/>
    <m/>
    <s v="Sim"/>
    <s v="Sim"/>
    <m/>
    <m/>
    <m/>
    <m/>
    <s v="Inseminação artificial/IATF"/>
    <m/>
    <s v="Sim"/>
    <m/>
    <m/>
    <x v="0"/>
    <x v="0"/>
    <s v="Ano todo"/>
    <s v="Sim"/>
    <s v="Cana-de-açúcar, Capineira, Silagem de milho"/>
    <s v="Sim"/>
    <s v="Sim"/>
    <m/>
    <s v="Sim"/>
    <m/>
    <m/>
    <m/>
    <m/>
    <m/>
    <n v="12"/>
    <n v="2.65"/>
    <n v="2.4"/>
    <n v="2.7"/>
    <s v="Volume de leite entregue, Nível de CCS, Nível de CBT, Teor de gordura"/>
    <s v="Sim"/>
    <s v="Sim"/>
    <s v="Sim"/>
    <s v="Sim"/>
    <m/>
    <m/>
    <m/>
    <x v="0"/>
    <x v="0"/>
    <x v="0"/>
    <x v="1"/>
    <x v="0"/>
  </r>
  <r>
    <m/>
    <x v="7"/>
    <x v="1"/>
    <x v="4"/>
    <x v="0"/>
    <x v="0"/>
    <s v="Mista"/>
    <s v="Não possui"/>
    <s v="Alvenaria"/>
    <s v="Área de reserva legal"/>
    <m/>
    <m/>
    <m/>
    <m/>
    <s v="Sim"/>
    <m/>
    <m/>
    <m/>
    <n v="47"/>
    <n v="14"/>
    <x v="0"/>
    <x v="2"/>
    <x v="1"/>
    <n v="100"/>
    <n v="0"/>
    <n v="0"/>
    <n v="0"/>
    <n v="0"/>
    <n v="0"/>
    <n v="0"/>
    <n v="100"/>
    <n v="0"/>
    <n v="0"/>
    <n v="0"/>
    <x v="0"/>
    <n v="100"/>
    <n v="0"/>
    <n v="0"/>
    <n v="0"/>
    <n v="0"/>
    <n v="90"/>
    <n v="10"/>
    <n v="0"/>
    <s v="PRONAF"/>
    <m/>
    <m/>
    <s v="Sim"/>
    <m/>
    <m/>
    <m/>
    <m/>
    <m/>
    <m/>
    <m/>
    <x v="1"/>
    <x v="1"/>
    <s v="Por gostar, Por ser uma atividade lucrativa, Por proporcionar renda mensal"/>
    <s v="Sim"/>
    <s v="Sim"/>
    <s v="Sim"/>
    <m/>
    <m/>
    <m/>
    <m/>
    <m/>
    <m/>
    <s v="Falta de mão de obra, Falta de crédito rural, com taxas de juros compatíveis com a atividade, Custo dos insumos"/>
    <s v="Sim"/>
    <m/>
    <s v="Sim"/>
    <m/>
    <m/>
    <s v="Sim"/>
    <m/>
    <m/>
    <m/>
    <m/>
    <m/>
    <m/>
    <s v="Qualidade genética dos animais, Reprodução do rebanho, Preço do leite"/>
    <m/>
    <m/>
    <s v="Sim"/>
    <m/>
    <m/>
    <s v="Sim"/>
    <s v="Sim"/>
    <m/>
    <m/>
    <x v="2"/>
    <x v="0"/>
    <x v="0"/>
    <s v="PRONAF"/>
    <s v="Sim"/>
    <m/>
    <m/>
    <m/>
    <m/>
    <m/>
    <m/>
    <s v="Utilizou crédito"/>
    <m/>
    <m/>
    <m/>
    <m/>
    <m/>
    <s v="Sim"/>
    <n v="900"/>
    <n v="900"/>
    <n v="900"/>
    <n v="35"/>
    <n v="35"/>
    <n v="35"/>
    <n v="95.5"/>
    <n v="0"/>
    <n v="0"/>
    <n v="4"/>
    <n v="0.5"/>
    <n v="5.7"/>
    <n v="0.5"/>
    <x v="0"/>
    <x v="0"/>
    <x v="1"/>
    <n v="1.726027397260274"/>
    <n v="1"/>
    <n v="2.7260273972602738"/>
    <n v="41"/>
    <n v="5"/>
    <n v="8"/>
    <n v="0"/>
    <n v="18"/>
    <n v="19"/>
    <n v="0"/>
    <n v="1"/>
    <n v="0"/>
    <n v="0"/>
    <n v="0"/>
    <n v="0"/>
    <n v="0"/>
    <n v="100"/>
    <n v="0"/>
    <n v="0"/>
    <n v="0"/>
    <n v="0"/>
    <n v="0"/>
    <n v="20"/>
    <n v="0"/>
    <n v="80"/>
    <n v="0"/>
    <n v="0"/>
    <n v="0"/>
    <x v="0"/>
    <x v="0"/>
    <x v="0"/>
    <x v="0"/>
    <x v="0"/>
    <x v="0"/>
    <x v="0"/>
    <n v="2"/>
    <n v="2"/>
    <s v="De 2 em 2 dias"/>
    <x v="2"/>
    <s v="Não tem pastagem plantada"/>
    <m/>
    <m/>
    <m/>
    <m/>
    <m/>
    <m/>
    <m/>
    <m/>
    <s v="Sim"/>
    <s v="Não utiliza pastagens"/>
    <m/>
    <m/>
    <m/>
    <m/>
    <m/>
    <m/>
    <m/>
    <s v="Sim"/>
    <x v="2"/>
    <s v="Produção de leite, Produtividade, Receitas, Despesas"/>
    <s v="Sim"/>
    <s v="Sim"/>
    <s v="Sim"/>
    <s v="Sim"/>
    <m/>
    <m/>
    <m/>
    <x v="0"/>
    <x v="0"/>
    <n v="1.8"/>
    <s v="Assistência técnica, Vizinho, amigo ou parente"/>
    <s v="Sim"/>
    <s v="Sim"/>
    <m/>
    <m/>
    <m/>
    <m/>
    <n v="36"/>
    <s v="Alimentação do rebanho, Sanidade do rebanho"/>
    <m/>
    <m/>
    <m/>
    <s v="Sim"/>
    <s v="Sim"/>
    <m/>
    <m/>
    <m/>
    <m/>
    <m/>
    <m/>
    <s v="Mercado do leite"/>
    <m/>
    <m/>
    <s v="Sim"/>
    <m/>
    <m/>
    <m/>
    <m/>
    <m/>
    <m/>
    <m/>
    <m/>
    <n v="0"/>
    <n v="100"/>
    <n v="0"/>
    <n v="0"/>
    <n v="0"/>
    <s v="Galpão coberto, Ventiladores mecânicos"/>
    <s v="Sim"/>
    <m/>
    <m/>
    <m/>
    <s v="Sim"/>
    <m/>
    <m/>
    <m/>
    <m/>
    <m/>
    <x v="0"/>
    <x v="1"/>
    <s v="Picadeira, Trator, Vagão forrageiro, Misturador de ração"/>
    <s v="Sim"/>
    <m/>
    <s v="Sim"/>
    <s v="Sim"/>
    <m/>
    <m/>
    <m/>
    <m/>
    <m/>
    <s v="Sim"/>
    <x v="1"/>
    <s v="Descarte adequado de embalagens (herbicida e defensivos)"/>
    <m/>
    <m/>
    <s v="Sim"/>
    <m/>
    <m/>
    <n v="0"/>
    <n v="3"/>
    <n v="120"/>
    <n v="25"/>
    <n v="14"/>
    <n v="0"/>
    <n v="0"/>
    <s v="Manqueira, Brucelose, Paratifo, Raiva, Enterotoxemia, Botulismo, Vermifugação, IBR/BVD, Leptospirose"/>
    <s v="Sim"/>
    <s v="Sim"/>
    <s v="Sim"/>
    <s v="Sim"/>
    <s v="Sim"/>
    <s v="Sim"/>
    <s v="Sim"/>
    <m/>
    <s v="Sim"/>
    <s v="Sim"/>
    <s v="Pré-dipping, Pós-dipping"/>
    <m/>
    <s v="Sim"/>
    <s v="Sim"/>
    <m/>
    <m/>
    <m/>
    <m/>
    <s v="Inseminação artificial/IATF"/>
    <m/>
    <s v="Sim"/>
    <m/>
    <m/>
    <x v="0"/>
    <x v="0"/>
    <s v="Ano todo"/>
    <s v="Sim"/>
    <s v="Capineira, Silagem de milho"/>
    <m/>
    <s v="Sim"/>
    <m/>
    <s v="Sim"/>
    <m/>
    <m/>
    <m/>
    <m/>
    <m/>
    <n v="12"/>
    <n v="2.56"/>
    <n v="2.5"/>
    <n v="2.7"/>
    <s v="Volume de leite entregue, Nível de CCS, Nível de CBT, Teor de gordura"/>
    <s v="Sim"/>
    <s v="Sim"/>
    <s v="Sim"/>
    <s v="Sim"/>
    <m/>
    <m/>
    <m/>
    <x v="0"/>
    <x v="0"/>
    <x v="1"/>
    <x v="1"/>
    <x v="1"/>
  </r>
  <r>
    <m/>
    <x v="8"/>
    <x v="0"/>
    <x v="1"/>
    <x v="1"/>
    <x v="0"/>
    <s v="Alvenaria"/>
    <s v="Não possui"/>
    <s v="Alvenaria"/>
    <s v="Nenhum dos anteriores"/>
    <m/>
    <m/>
    <m/>
    <m/>
    <m/>
    <m/>
    <m/>
    <m/>
    <n v="49"/>
    <n v="4"/>
    <x v="0"/>
    <x v="6"/>
    <x v="0"/>
    <n v="100"/>
    <n v="0"/>
    <n v="0"/>
    <n v="0"/>
    <n v="0"/>
    <n v="0"/>
    <n v="0"/>
    <n v="100"/>
    <n v="0"/>
    <n v="0"/>
    <n v="0"/>
    <x v="0"/>
    <n v="100"/>
    <n v="0"/>
    <n v="0"/>
    <n v="0"/>
    <n v="0"/>
    <n v="90"/>
    <n v="10"/>
    <n v="0"/>
    <s v="Não recebe benefício do governo"/>
    <m/>
    <m/>
    <m/>
    <m/>
    <m/>
    <m/>
    <m/>
    <m/>
    <m/>
    <s v="Sim"/>
    <x v="0"/>
    <x v="1"/>
    <s v="Por gostar, Por ser uma atividade lucrativa"/>
    <s v="Sim"/>
    <s v="Sim"/>
    <m/>
    <m/>
    <m/>
    <m/>
    <m/>
    <m/>
    <m/>
    <s v="Baixa capacidade de endividamento"/>
    <m/>
    <m/>
    <m/>
    <m/>
    <m/>
    <m/>
    <m/>
    <m/>
    <m/>
    <m/>
    <s v="Sim"/>
    <m/>
    <s v="Qualidade genética dos animais, Reprodução do rebanho, Preço do leite"/>
    <m/>
    <m/>
    <s v="Sim"/>
    <m/>
    <m/>
    <s v="Sim"/>
    <s v="Sim"/>
    <m/>
    <m/>
    <x v="0"/>
    <x v="0"/>
    <x v="1"/>
    <s v="Não utilizou crédito"/>
    <m/>
    <m/>
    <m/>
    <m/>
    <m/>
    <m/>
    <s v="Sim"/>
    <s v="Não tem capacidade para endividamento"/>
    <m/>
    <m/>
    <s v="Sim"/>
    <m/>
    <m/>
    <m/>
    <n v="450"/>
    <n v="450"/>
    <n v="450"/>
    <n v="23"/>
    <n v="23"/>
    <n v="23"/>
    <n v="94"/>
    <n v="0"/>
    <n v="0"/>
    <n v="1"/>
    <n v="5"/>
    <n v="3"/>
    <n v="12"/>
    <x v="0"/>
    <x v="0"/>
    <x v="1"/>
    <n v="1.1506849315068493"/>
    <n v="1.5"/>
    <n v="2.6506849315068495"/>
    <n v="18"/>
    <n v="4"/>
    <n v="3"/>
    <n v="0"/>
    <n v="9"/>
    <n v="9"/>
    <n v="0"/>
    <n v="0"/>
    <n v="0"/>
    <n v="0"/>
    <n v="0"/>
    <n v="75"/>
    <n v="0"/>
    <n v="25"/>
    <n v="0"/>
    <n v="0"/>
    <n v="0"/>
    <n v="15"/>
    <n v="30"/>
    <n v="50"/>
    <n v="5"/>
    <n v="0"/>
    <n v="0"/>
    <n v="0"/>
    <n v="0"/>
    <x v="0"/>
    <x v="0"/>
    <x v="0"/>
    <x v="0"/>
    <x v="0"/>
    <x v="0"/>
    <x v="0"/>
    <n v="2"/>
    <n v="2"/>
    <s v="De 2 em 2 dias"/>
    <x v="1"/>
    <s v="Brachiaria"/>
    <s v="Sim"/>
    <m/>
    <m/>
    <m/>
    <m/>
    <m/>
    <m/>
    <m/>
    <m/>
    <s v="Nenhuma das anteriores"/>
    <m/>
    <m/>
    <m/>
    <m/>
    <m/>
    <m/>
    <s v="Sim"/>
    <m/>
    <x v="0"/>
    <s v="Produção de leite, Despesas"/>
    <s v="Sim"/>
    <m/>
    <m/>
    <s v="Sim"/>
    <m/>
    <m/>
    <m/>
    <x v="1"/>
    <x v="0"/>
    <n v="2.2000000000000002"/>
    <s v="Assistência técnica, Outras mídias sociais"/>
    <s v="Sim"/>
    <m/>
    <m/>
    <m/>
    <m/>
    <s v="Sim"/>
    <n v="5"/>
    <s v="Cálculo do custo de produção, Alimentação do rebanho"/>
    <m/>
    <s v="Sim"/>
    <m/>
    <s v="Sim"/>
    <m/>
    <m/>
    <m/>
    <m/>
    <m/>
    <m/>
    <m/>
    <s v="Planejamento da empresa rural"/>
    <s v="Sim"/>
    <m/>
    <m/>
    <m/>
    <m/>
    <m/>
    <m/>
    <m/>
    <m/>
    <m/>
    <m/>
    <n v="0"/>
    <n v="100"/>
    <n v="0"/>
    <n v="0"/>
    <n v="0"/>
    <s v="Galpão coberto, Aspersores ou nebulizadores, Bebedouros"/>
    <s v="Sim"/>
    <m/>
    <m/>
    <m/>
    <m/>
    <m/>
    <m/>
    <s v="Sim"/>
    <m/>
    <m/>
    <x v="0"/>
    <x v="1"/>
    <s v="Trator, Ensiladeira"/>
    <m/>
    <m/>
    <s v="Sim"/>
    <m/>
    <m/>
    <m/>
    <m/>
    <s v="Sim"/>
    <m/>
    <m/>
    <x v="1"/>
    <s v="Descarte adequado de embalagens (herbicida e defensivos), Tratamento de efluentes da residência, Rotação de culturas"/>
    <m/>
    <m/>
    <s v="Sim"/>
    <s v="Sim"/>
    <s v="Sim"/>
    <n v="0.2"/>
    <n v="2.8"/>
    <n v="100"/>
    <n v="24"/>
    <n v="14"/>
    <n v="0"/>
    <n v="0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Alimentação após a ordenha"/>
    <s v="Sim"/>
    <s v="Sim"/>
    <s v="Sim"/>
    <m/>
    <m/>
    <s v="Sim"/>
    <m/>
    <s v="FIV/TE, Inseminação artificial/IATF, Natural controlada"/>
    <s v="Sim"/>
    <s v="Sim"/>
    <s v="Sim"/>
    <m/>
    <x v="0"/>
    <x v="0"/>
    <s v="Ano todo"/>
    <s v="Sim"/>
    <s v="Silagem de milho, Silagem de sorgo, Feno"/>
    <m/>
    <m/>
    <m/>
    <s v="Sim"/>
    <s v="Sim"/>
    <m/>
    <m/>
    <m/>
    <m/>
    <n v="1"/>
    <n v="2.75"/>
    <n v="2.5"/>
    <n v="2.5"/>
    <m/>
    <s v="Sim"/>
    <s v="Sim"/>
    <s v="Sim"/>
    <s v="Sim"/>
    <m/>
    <m/>
    <m/>
    <x v="0"/>
    <x v="0"/>
    <x v="1"/>
    <x v="1"/>
    <x v="0"/>
  </r>
  <r>
    <m/>
    <x v="1"/>
    <x v="1"/>
    <x v="2"/>
    <x v="0"/>
    <x v="1"/>
    <s v="Não possui"/>
    <s v="Não possui"/>
    <s v="Alvenaria"/>
    <s v="CAR - Cadastro Ambiental Rural, Cursos d’água/riacho/nascentes/mina, Vegetação nativa/mata/floresta, Área de preservação permanentes, Serviço de água potável"/>
    <s v="Sim"/>
    <s v="Sim"/>
    <s v="Sim"/>
    <s v="Sim"/>
    <m/>
    <s v="Sim"/>
    <m/>
    <m/>
    <n v="25"/>
    <n v="0.2"/>
    <x v="1"/>
    <x v="4"/>
    <x v="1"/>
    <n v="100"/>
    <n v="0"/>
    <n v="0"/>
    <n v="0"/>
    <n v="0"/>
    <n v="0"/>
    <n v="0"/>
    <n v="100"/>
    <n v="0"/>
    <n v="0"/>
    <n v="0"/>
    <x v="0"/>
    <n v="100"/>
    <n v="0"/>
    <n v="0"/>
    <n v="0"/>
    <n v="0"/>
    <n v="100"/>
    <n v="0"/>
    <n v="0"/>
    <s v="Não recebe benefício do governo"/>
    <m/>
    <m/>
    <m/>
    <m/>
    <m/>
    <m/>
    <m/>
    <m/>
    <m/>
    <s v="Sim"/>
    <x v="1"/>
    <x v="1"/>
    <s v="Por gostar, Tem mercado garantido, Outro"/>
    <s v="Sim"/>
    <m/>
    <m/>
    <m/>
    <m/>
    <s v="Sim"/>
    <m/>
    <m/>
    <m/>
    <s v="Deficiência na qualificação da mão de obra"/>
    <m/>
    <s v="Sim"/>
    <m/>
    <m/>
    <m/>
    <m/>
    <m/>
    <m/>
    <m/>
    <m/>
    <m/>
    <m/>
    <s v="Alimentação do rebanho, Reprodução do rebanho, Conhecimento de técnicas eficientes"/>
    <m/>
    <m/>
    <m/>
    <s v="Sim"/>
    <m/>
    <s v="Sim"/>
    <m/>
    <s v="Sim"/>
    <m/>
    <x v="0"/>
    <x v="2"/>
    <x v="1"/>
    <s v="Não utilizou crédito"/>
    <m/>
    <m/>
    <m/>
    <m/>
    <m/>
    <m/>
    <s v="Sim"/>
    <s v="Não precisou de crédito"/>
    <m/>
    <m/>
    <m/>
    <m/>
    <s v="Sim"/>
    <m/>
    <n v="130"/>
    <n v="130"/>
    <n v="130"/>
    <n v="11.5"/>
    <n v="11.5"/>
    <n v="11.5"/>
    <n v="100"/>
    <n v="0"/>
    <n v="0"/>
    <n v="0"/>
    <n v="0"/>
    <n v="36"/>
    <n v="26"/>
    <x v="0"/>
    <x v="1"/>
    <x v="1"/>
    <n v="1.4794520547945205"/>
    <n v="0"/>
    <n v="1.4794520547945205"/>
    <n v="13"/>
    <n v="10"/>
    <n v="2"/>
    <n v="1"/>
    <n v="2"/>
    <n v="1"/>
    <n v="0"/>
    <n v="0"/>
    <n v="1"/>
    <n v="0"/>
    <n v="0"/>
    <n v="0"/>
    <n v="0"/>
    <n v="100"/>
    <n v="0"/>
    <n v="0"/>
    <n v="0"/>
    <n v="80"/>
    <n v="10"/>
    <n v="0"/>
    <n v="0"/>
    <n v="0"/>
    <n v="0"/>
    <n v="0"/>
    <n v="10"/>
    <x v="1"/>
    <x v="0"/>
    <x v="0"/>
    <x v="1"/>
    <x v="0"/>
    <x v="0"/>
    <x v="0"/>
    <n v="2"/>
    <n v="2"/>
    <s v="De 2 em 2 dias"/>
    <x v="1"/>
    <s v="Brachiaria"/>
    <s v="Sim"/>
    <m/>
    <m/>
    <m/>
    <m/>
    <m/>
    <m/>
    <m/>
    <m/>
    <s v="Correção e adubação do solo na implantação"/>
    <s v="Sim"/>
    <m/>
    <m/>
    <m/>
    <m/>
    <m/>
    <m/>
    <m/>
    <x v="0"/>
    <s v="Produção de leite, Produtividade"/>
    <s v="Sim"/>
    <s v="Sim"/>
    <m/>
    <m/>
    <m/>
    <m/>
    <m/>
    <x v="1"/>
    <x v="0"/>
    <n v="1.8"/>
    <s v="Assistência técnica, Treinamento (curso, palestra, etc.)"/>
    <s v="Sim"/>
    <m/>
    <s v="Sim"/>
    <m/>
    <m/>
    <m/>
    <n v="5"/>
    <s v="Alimentação do rebanho, Sanidade do rebanho, Melhoramento genético"/>
    <m/>
    <m/>
    <m/>
    <s v="Sim"/>
    <s v="Sim"/>
    <m/>
    <s v="Sim"/>
    <m/>
    <m/>
    <m/>
    <m/>
    <s v="Cálculo do custo de produção, Sanidade do rebanho, Melhoramento genético"/>
    <m/>
    <s v="Sim"/>
    <m/>
    <m/>
    <s v="Sim"/>
    <m/>
    <s v="Sim"/>
    <m/>
    <m/>
    <m/>
    <m/>
    <n v="0"/>
    <n v="0"/>
    <n v="100"/>
    <n v="0"/>
    <n v="0"/>
    <s v="Galpão coberto, Cobertura vegetal (árvores, sombra natural), Bebedouros"/>
    <s v="Sim"/>
    <m/>
    <s v="Sim"/>
    <m/>
    <m/>
    <m/>
    <m/>
    <s v="Sim"/>
    <m/>
    <m/>
    <x v="0"/>
    <x v="2"/>
    <s v="Nenhum dos anteriores"/>
    <m/>
    <m/>
    <m/>
    <m/>
    <m/>
    <m/>
    <m/>
    <m/>
    <m/>
    <m/>
    <x v="1"/>
    <s v="Plantio direto, Cobertura do solo, Descarte adequado de embalagens (herbicida e defensivos)"/>
    <s v="Sim"/>
    <s v="Sim"/>
    <s v="Sim"/>
    <m/>
    <m/>
    <n v="0.1"/>
    <n v="2.5"/>
    <n v="80"/>
    <n v="26"/>
    <n v="14"/>
    <n v="0"/>
    <n v="0"/>
    <s v="Raiva, Vermifugação, Carrapaticida, IBR/BVD, Leptospirose"/>
    <m/>
    <s v="Sim"/>
    <m/>
    <s v="Sim"/>
    <m/>
    <m/>
    <s v="Sim"/>
    <s v="Sim"/>
    <s v="Sim"/>
    <s v="Sim"/>
    <s v="Teste da caneca, Pré-dipping, Pós-dipping, Linha de ordenha, Alimentação durante a ordenha"/>
    <s v="Sim"/>
    <s v="Sim"/>
    <s v="Sim"/>
    <s v="Sim"/>
    <s v="Sim"/>
    <m/>
    <m/>
    <s v="Inseminação artificial/IATF"/>
    <m/>
    <s v="Sim"/>
    <m/>
    <m/>
    <x v="0"/>
    <x v="1"/>
    <s v="Ano todo"/>
    <s v="Sim"/>
    <s v="Capineira, Silagem de sorgo"/>
    <m/>
    <s v="Sim"/>
    <m/>
    <m/>
    <s v="Sim"/>
    <m/>
    <m/>
    <m/>
    <m/>
    <n v="0.2"/>
    <n v="2.64"/>
    <n v="2.5"/>
    <n v="2.5"/>
    <s v="Volume de leite entregue, Nível de CCS, Nível de CBT, Teor de gordura, Teor de proteína"/>
    <s v="Sim"/>
    <s v="Sim"/>
    <s v="Sim"/>
    <s v="Sim"/>
    <s v="Sim"/>
    <m/>
    <m/>
    <x v="1"/>
    <x v="0"/>
    <x v="0"/>
    <x v="0"/>
    <x v="0"/>
  </r>
  <r>
    <m/>
    <x v="5"/>
    <x v="1"/>
    <x v="4"/>
    <x v="0"/>
    <x v="0"/>
    <s v="Alvenaria"/>
    <s v="Não possui"/>
    <s v="Madeira"/>
    <s v="CAR - Cadastro Ambiental Rural, Serviço de telefonia"/>
    <s v="Sim"/>
    <m/>
    <m/>
    <m/>
    <m/>
    <m/>
    <m/>
    <s v="Sim"/>
    <n v="36"/>
    <n v="10"/>
    <x v="0"/>
    <x v="2"/>
    <x v="1"/>
    <n v="5"/>
    <n v="95"/>
    <n v="0"/>
    <n v="0"/>
    <n v="0"/>
    <n v="0"/>
    <n v="100"/>
    <n v="0"/>
    <n v="0"/>
    <n v="0"/>
    <n v="0"/>
    <x v="0"/>
    <n v="98"/>
    <n v="2"/>
    <n v="0"/>
    <n v="0"/>
    <n v="0"/>
    <n v="93"/>
    <n v="7"/>
    <n v="0"/>
    <s v="PRONAF, PRONAMPE"/>
    <m/>
    <m/>
    <s v="Sim"/>
    <s v="Sim"/>
    <m/>
    <m/>
    <m/>
    <m/>
    <m/>
    <m/>
    <x v="0"/>
    <x v="0"/>
    <s v="Por gostar, Por ser uma atividade lucrativa"/>
    <s v="Sim"/>
    <s v="Sim"/>
    <m/>
    <m/>
    <m/>
    <m/>
    <m/>
    <m/>
    <m/>
    <s v="Falta de mão de obra, Custo dos insumos"/>
    <s v="Sim"/>
    <m/>
    <m/>
    <m/>
    <m/>
    <s v="Sim"/>
    <m/>
    <m/>
    <m/>
    <m/>
    <m/>
    <m/>
    <s v="Qualidade genética dos animais, Reprodução do rebanho"/>
    <m/>
    <m/>
    <s v="Sim"/>
    <m/>
    <m/>
    <s v="Sim"/>
    <m/>
    <m/>
    <m/>
    <x v="0"/>
    <x v="2"/>
    <x v="0"/>
    <s v="PRONAMPE"/>
    <m/>
    <m/>
    <s v="Sim"/>
    <m/>
    <m/>
    <m/>
    <m/>
    <s v="Utilizou crédito"/>
    <m/>
    <m/>
    <m/>
    <m/>
    <m/>
    <s v="Sim"/>
    <n v="733.33333333333337"/>
    <n v="500"/>
    <n v="900"/>
    <n v="29.083333333333332"/>
    <n v="25"/>
    <n v="32"/>
    <n v="92"/>
    <n v="0"/>
    <n v="0"/>
    <n v="0.3"/>
    <n v="7.7"/>
    <n v="1.5"/>
    <n v="1.5"/>
    <x v="0"/>
    <x v="0"/>
    <x v="1"/>
    <n v="1.5001643835616441"/>
    <n v="1"/>
    <n v="2.5001643835616441"/>
    <n v="40"/>
    <n v="7"/>
    <n v="8"/>
    <n v="1"/>
    <n v="10"/>
    <n v="8"/>
    <n v="0"/>
    <n v="0"/>
    <n v="1"/>
    <n v="0"/>
    <n v="0"/>
    <n v="0"/>
    <n v="0"/>
    <n v="100"/>
    <n v="0"/>
    <n v="0"/>
    <n v="0"/>
    <n v="0"/>
    <n v="0"/>
    <n v="0"/>
    <n v="0"/>
    <n v="100"/>
    <n v="0"/>
    <n v="0"/>
    <n v="0"/>
    <x v="0"/>
    <x v="0"/>
    <x v="0"/>
    <x v="0"/>
    <x v="0"/>
    <x v="0"/>
    <x v="0"/>
    <n v="2"/>
    <n v="2"/>
    <s v="Todos os dias"/>
    <x v="2"/>
    <s v="Não tem pastagem plantada"/>
    <m/>
    <m/>
    <m/>
    <m/>
    <m/>
    <m/>
    <m/>
    <m/>
    <s v="Sim"/>
    <s v="Não utiliza pastagens"/>
    <m/>
    <m/>
    <m/>
    <m/>
    <m/>
    <m/>
    <m/>
    <s v="Sim"/>
    <x v="2"/>
    <s v="Produção de leite, Produtividade, Despesas, Venda de animais"/>
    <s v="Sim"/>
    <s v="Sim"/>
    <m/>
    <s v="Sim"/>
    <m/>
    <s v="Sim"/>
    <m/>
    <x v="1"/>
    <x v="1"/>
    <m/>
    <s v="Assistência técnica, Treinamento (curso, palestra, etc.)"/>
    <s v="Sim"/>
    <m/>
    <s v="Sim"/>
    <m/>
    <m/>
    <m/>
    <n v="36"/>
    <s v="Alimentação do rebanho, Sanidade do rebanho, Gerenciamento da produção"/>
    <m/>
    <m/>
    <m/>
    <s v="Sim"/>
    <s v="Sim"/>
    <m/>
    <m/>
    <s v="Sim"/>
    <m/>
    <m/>
    <m/>
    <s v="Mercado do leite"/>
    <m/>
    <m/>
    <s v="Sim"/>
    <m/>
    <m/>
    <m/>
    <m/>
    <m/>
    <m/>
    <m/>
    <m/>
    <n v="0"/>
    <n v="100"/>
    <n v="0"/>
    <n v="0"/>
    <n v="0"/>
    <s v="Galpão coberto, Ventiladores mecânicos, Bebedouros"/>
    <s v="Sim"/>
    <m/>
    <m/>
    <m/>
    <s v="Sim"/>
    <m/>
    <m/>
    <s v="Sim"/>
    <m/>
    <m/>
    <x v="0"/>
    <x v="0"/>
    <s v="Trator, Vagão forrageiro, Plantadeira, Grade, Ensiladeira"/>
    <m/>
    <m/>
    <s v="Sim"/>
    <s v="Sim"/>
    <s v="Sim"/>
    <s v="Sim"/>
    <m/>
    <s v="Sim"/>
    <m/>
    <m/>
    <x v="0"/>
    <s v="Descarte adequado de embalagens (herbicida e defensivos)"/>
    <m/>
    <m/>
    <s v="Sim"/>
    <m/>
    <m/>
    <n v="0"/>
    <n v="3"/>
    <n v="100"/>
    <n v="26"/>
    <n v="14"/>
    <n v="0"/>
    <n v="0"/>
    <s v="Manqueira, Brucelose, Raiva, Botulismo, Vermifugação, Carrapaticida, IBR/BVD, Leptospirose"/>
    <s v="Sim"/>
    <s v="Sim"/>
    <m/>
    <s v="Sim"/>
    <m/>
    <s v="Sim"/>
    <s v="Sim"/>
    <s v="Sim"/>
    <s v="Sim"/>
    <s v="Sim"/>
    <s v="Teste da caneca, Pré-dipping, Pós-dipping, Alimentação após a ordenha, Identificação de animais tratados com antibiótico"/>
    <s v="Sim"/>
    <s v="Sim"/>
    <s v="Sim"/>
    <m/>
    <m/>
    <s v="Sim"/>
    <s v="Sim"/>
    <s v="Inseminação artificial/IATF"/>
    <m/>
    <s v="Sim"/>
    <m/>
    <m/>
    <x v="0"/>
    <x v="1"/>
    <s v="Ano todo"/>
    <s v="Sim"/>
    <s v="Silagem de milho"/>
    <m/>
    <m/>
    <m/>
    <s v="Sim"/>
    <m/>
    <m/>
    <m/>
    <m/>
    <m/>
    <n v="2"/>
    <n v="2.86"/>
    <n v="2.2000000000000002"/>
    <n v="2.9"/>
    <s v="Volume de leite entregue, Nível de CCS, Nível de CBT, Teor de gordura"/>
    <s v="Sim"/>
    <s v="Sim"/>
    <s v="Sim"/>
    <s v="Sim"/>
    <m/>
    <m/>
    <m/>
    <x v="0"/>
    <x v="0"/>
    <x v="0"/>
    <x v="1"/>
    <x v="0"/>
  </r>
  <r>
    <m/>
    <x v="9"/>
    <x v="0"/>
    <x v="0"/>
    <x v="0"/>
    <x v="0"/>
    <s v="Alvenaria"/>
    <s v="Alvenaria"/>
    <s v="Madeira"/>
    <s v="CAR - Cadastro Ambiental Rural, Cursos d’água/riacho/nascentes/mina, Vegetação nativa/mata/floresta, Área de preservação permanentes, Área de reserva legal, Serviço de água potável, Serviço de esgoto doméstico tratado, Serviço de telefonia"/>
    <s v="Sim"/>
    <s v="Sim"/>
    <s v="Sim"/>
    <s v="Sim"/>
    <s v="Sim"/>
    <s v="Sim"/>
    <s v="Sim"/>
    <s v="Sim"/>
    <n v="32"/>
    <n v="10"/>
    <x v="1"/>
    <x v="0"/>
    <x v="0"/>
    <n v="69"/>
    <n v="31"/>
    <n v="0"/>
    <n v="0"/>
    <n v="0"/>
    <n v="0"/>
    <n v="100"/>
    <n v="0"/>
    <n v="0"/>
    <n v="0"/>
    <n v="0"/>
    <x v="1"/>
    <n v="70"/>
    <n v="25"/>
    <n v="5"/>
    <n v="0"/>
    <n v="0"/>
    <n v="83.65"/>
    <n v="16.350000000000001"/>
    <n v="0"/>
    <s v="PRONAMPE"/>
    <m/>
    <m/>
    <m/>
    <s v="Sim"/>
    <m/>
    <m/>
    <m/>
    <m/>
    <m/>
    <m/>
    <x v="1"/>
    <x v="1"/>
    <s v="Por gostar, Por ser uma atividade lucrativa, A atividade leiteira é uma tradição na família"/>
    <s v="Sim"/>
    <s v="Sim"/>
    <m/>
    <s v="Sim"/>
    <m/>
    <m/>
    <m/>
    <m/>
    <m/>
    <s v="Falta de mão de obra, Falta de crédito rural, com taxas de juros compatíveis com a atividade, Instabilidade de políticas públicas"/>
    <s v="Sim"/>
    <m/>
    <s v="Sim"/>
    <m/>
    <m/>
    <m/>
    <m/>
    <s v="Sim"/>
    <m/>
    <m/>
    <m/>
    <m/>
    <s v="Mão de obra qualificada, Qualidade genética dos animais, Preço do leite"/>
    <s v="Sim"/>
    <m/>
    <s v="Sim"/>
    <m/>
    <m/>
    <m/>
    <s v="Sim"/>
    <m/>
    <m/>
    <x v="0"/>
    <x v="2"/>
    <x v="0"/>
    <s v="PRONAMPE"/>
    <m/>
    <m/>
    <s v="Sim"/>
    <m/>
    <m/>
    <m/>
    <m/>
    <s v="Utilizou crédito"/>
    <m/>
    <m/>
    <m/>
    <m/>
    <m/>
    <s v="Sim"/>
    <n v="1745.8333333333333"/>
    <n v="1600"/>
    <n v="1850"/>
    <n v="20.583333333333332"/>
    <n v="20"/>
    <n v="21"/>
    <n v="95.9"/>
    <n v="0"/>
    <n v="0"/>
    <n v="0.1"/>
    <n v="4"/>
    <n v="300"/>
    <n v="43"/>
    <x v="0"/>
    <x v="1"/>
    <x v="1"/>
    <n v="2.9589041095890409"/>
    <n v="8"/>
    <n v="10.95890410958904"/>
    <n v="63"/>
    <n v="19"/>
    <n v="15"/>
    <n v="5"/>
    <n v="48"/>
    <n v="21"/>
    <n v="0"/>
    <n v="1"/>
    <n v="0"/>
    <n v="1"/>
    <n v="9"/>
    <n v="0"/>
    <n v="0"/>
    <n v="90"/>
    <n v="0"/>
    <n v="0"/>
    <n v="0"/>
    <n v="0"/>
    <n v="30"/>
    <n v="70"/>
    <n v="0"/>
    <n v="0"/>
    <n v="0"/>
    <n v="0"/>
    <n v="0"/>
    <x v="0"/>
    <x v="0"/>
    <x v="0"/>
    <x v="0"/>
    <x v="0"/>
    <x v="0"/>
    <x v="0"/>
    <n v="2"/>
    <n v="2"/>
    <s v="De 2 em 2 dias"/>
    <x v="1"/>
    <s v="Brachiaria, Cynodon"/>
    <s v="Sim"/>
    <m/>
    <m/>
    <m/>
    <m/>
    <m/>
    <s v="Sim"/>
    <m/>
    <m/>
    <s v="Correção e adubação do solo na implantação, Controle de plantas invasoras, Rotação de pastagens"/>
    <s v="Sim"/>
    <m/>
    <m/>
    <s v="Sim"/>
    <m/>
    <m/>
    <m/>
    <m/>
    <x v="0"/>
    <s v="Produção de leite, Produtividade, Receitas, Despesas, Venda de genética, Venda de animais"/>
    <s v="Sim"/>
    <s v="Sim"/>
    <s v="Sim"/>
    <s v="Sim"/>
    <s v="Sim"/>
    <s v="Sim"/>
    <m/>
    <x v="0"/>
    <x v="0"/>
    <n v="2.2999999999999998"/>
    <s v="Assistência técnica, Treinamento (curso, palestra, etc.), Outras mídias sociais"/>
    <s v="Sim"/>
    <m/>
    <s v="Sim"/>
    <m/>
    <m/>
    <s v="Sim"/>
    <n v="80"/>
    <s v="Alimentação do rebanho, Manejo do rebanho, Qualidade do leite"/>
    <m/>
    <m/>
    <m/>
    <s v="Sim"/>
    <m/>
    <s v="Sim"/>
    <m/>
    <m/>
    <m/>
    <s v="Sim"/>
    <m/>
    <s v="Mercado do leite"/>
    <m/>
    <m/>
    <s v="Sim"/>
    <m/>
    <m/>
    <m/>
    <m/>
    <m/>
    <m/>
    <m/>
    <m/>
    <n v="0"/>
    <n v="75"/>
    <n v="25"/>
    <n v="0"/>
    <n v="0"/>
    <s v="Galpão coberto, Cobertura vegetal (árvores, sombra natural), Ventiladores mecânicos, Aspersores ou nebulizadores, Sistema de resfriamento evaporativo, Bebedouros, Controle automatizado de temperatura/umidade"/>
    <s v="Sim"/>
    <m/>
    <s v="Sim"/>
    <m/>
    <s v="Sim"/>
    <m/>
    <s v="Sim"/>
    <s v="Sim"/>
    <s v="Sim"/>
    <m/>
    <x v="0"/>
    <x v="0"/>
    <s v="Balança para os animais, Trator, Vagão forrageiro, Plantadeira, Grade, Arado, Ensiladeira, Distribuidor de calcário, Misturador de ração"/>
    <m/>
    <s v="Sim"/>
    <s v="Sim"/>
    <s v="Sim"/>
    <s v="Sim"/>
    <s v="Sim"/>
    <s v="Sim"/>
    <s v="Sim"/>
    <s v="Sim"/>
    <s v="Sim"/>
    <x v="1"/>
    <s v="Tratamento de efluentes da residência"/>
    <m/>
    <m/>
    <m/>
    <s v="Sim"/>
    <m/>
    <n v="24"/>
    <n v="3"/>
    <n v="110"/>
    <n v="28"/>
    <n v="14"/>
    <n v="0"/>
    <n v="3"/>
    <s v="Manqueira, Brucelose, Paratifo, Raiva, Enterotoxemia, Botulismo, Vermifugação, Carrapaticida, IBR/BVD, Leptospirose"/>
    <s v="Sim"/>
    <s v="Sim"/>
    <s v="Sim"/>
    <s v="Sim"/>
    <s v="Sim"/>
    <s v="Sim"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FIV/TE, Inseminação artificial/IATF, Natural controlada"/>
    <s v="Sim"/>
    <s v="Sim"/>
    <s v="Sim"/>
    <m/>
    <x v="0"/>
    <x v="1"/>
    <s v="Ano todo"/>
    <s v="Sim"/>
    <s v="Cana-de-açúcar, Silagem de milho"/>
    <s v="Sim"/>
    <m/>
    <m/>
    <s v="Sim"/>
    <m/>
    <m/>
    <m/>
    <m/>
    <m/>
    <n v="28"/>
    <n v="2.82"/>
    <n v="2.35"/>
    <n v="2.9"/>
    <s v="Volume de leite entregue, Nível de CCS, Nível de CBT, Teor de gordura, Teor de proteína, Critérios de sustentabilidade e BPA"/>
    <s v="Sim"/>
    <s v="Sim"/>
    <s v="Sim"/>
    <s v="Sim"/>
    <s v="Sim"/>
    <s v="Sim"/>
    <m/>
    <x v="0"/>
    <x v="0"/>
    <x v="0"/>
    <x v="1"/>
    <x v="2"/>
  </r>
  <r>
    <m/>
    <x v="9"/>
    <x v="0"/>
    <x v="1"/>
    <x v="0"/>
    <x v="1"/>
    <s v="Alvenaria"/>
    <s v="Não possui"/>
    <s v="Mista"/>
    <s v="CAR - Cadastro Ambiental Rural, Cursos d’água/riacho/nascentes/mina, Vegetação nativa/mata/floresta, Área de preservação permanentes, Área de reserva legal, Serviço de telefonia"/>
    <s v="Sim"/>
    <s v="Sim"/>
    <s v="Sim"/>
    <s v="Sim"/>
    <s v="Sim"/>
    <m/>
    <m/>
    <s v="Sim"/>
    <n v="39"/>
    <n v="4"/>
    <x v="0"/>
    <x v="2"/>
    <x v="0"/>
    <n v="80"/>
    <n v="20"/>
    <n v="0"/>
    <n v="0"/>
    <n v="0"/>
    <n v="0"/>
    <n v="0"/>
    <n v="0"/>
    <n v="0"/>
    <n v="0"/>
    <n v="100"/>
    <x v="0"/>
    <n v="65"/>
    <n v="35"/>
    <n v="0"/>
    <n v="0"/>
    <n v="0"/>
    <n v="90"/>
    <n v="10"/>
    <n v="0"/>
    <s v="Não recebe benefício do governo"/>
    <m/>
    <m/>
    <m/>
    <m/>
    <m/>
    <m/>
    <m/>
    <m/>
    <m/>
    <s v="Sim"/>
    <x v="1"/>
    <x v="1"/>
    <s v="Por proporcionar renda mensal"/>
    <m/>
    <m/>
    <s v="Sim"/>
    <m/>
    <m/>
    <m/>
    <m/>
    <m/>
    <m/>
    <s v="Não sabe"/>
    <m/>
    <m/>
    <m/>
    <m/>
    <m/>
    <m/>
    <m/>
    <m/>
    <m/>
    <m/>
    <m/>
    <s v="Sim"/>
    <s v="Manejo do rebanho, Preço do leite"/>
    <m/>
    <m/>
    <m/>
    <m/>
    <s v="Sim"/>
    <m/>
    <s v="Sim"/>
    <m/>
    <m/>
    <x v="0"/>
    <x v="2"/>
    <x v="1"/>
    <s v="Não utilizou crédito"/>
    <m/>
    <m/>
    <m/>
    <m/>
    <m/>
    <m/>
    <s v="Sim"/>
    <s v="Dificuldade para obter financiamento"/>
    <m/>
    <m/>
    <m/>
    <s v="Sim"/>
    <m/>
    <m/>
    <n v="350"/>
    <n v="350"/>
    <n v="350"/>
    <n v="17.166666666666668"/>
    <n v="16"/>
    <n v="18"/>
    <n v="84"/>
    <n v="5"/>
    <n v="0"/>
    <n v="0"/>
    <n v="11"/>
    <n v="90"/>
    <n v="30"/>
    <x v="0"/>
    <x v="0"/>
    <x v="1"/>
    <n v="0.85479452054794525"/>
    <n v="1"/>
    <n v="1.8547945205479452"/>
    <n v="23"/>
    <n v="5"/>
    <n v="2"/>
    <n v="3"/>
    <n v="3"/>
    <n v="5"/>
    <n v="0"/>
    <n v="1"/>
    <n v="1"/>
    <n v="0"/>
    <n v="0"/>
    <n v="0"/>
    <n v="0"/>
    <n v="0"/>
    <n v="0"/>
    <n v="100"/>
    <n v="0"/>
    <n v="0"/>
    <n v="50"/>
    <n v="50"/>
    <n v="0"/>
    <n v="0"/>
    <n v="0"/>
    <n v="0"/>
    <n v="0"/>
    <x v="0"/>
    <x v="0"/>
    <x v="0"/>
    <x v="1"/>
    <x v="0"/>
    <x v="0"/>
    <x v="0"/>
    <n v="2"/>
    <n v="2"/>
    <s v="De 2 em 2 dias"/>
    <x v="1"/>
    <s v="Brachiaria"/>
    <s v="Sim"/>
    <m/>
    <m/>
    <m/>
    <m/>
    <m/>
    <m/>
    <m/>
    <m/>
    <s v="Controle de plantas invasoras"/>
    <m/>
    <m/>
    <m/>
    <m/>
    <m/>
    <m/>
    <m/>
    <m/>
    <x v="2"/>
    <s v="Produção de leite"/>
    <s v="Sim"/>
    <m/>
    <m/>
    <m/>
    <m/>
    <m/>
    <m/>
    <x v="0"/>
    <x v="0"/>
    <n v="2.58"/>
    <s v="Assistência técnica"/>
    <s v="Sim"/>
    <m/>
    <m/>
    <m/>
    <m/>
    <m/>
    <n v="26"/>
    <s v="Planejamento da empresa rural, Cálculo do custo de produção, Sanidade do rebanho, Manejo do rebanho"/>
    <s v="Sim"/>
    <s v="Sim"/>
    <m/>
    <m/>
    <s v="Sim"/>
    <s v="Sim"/>
    <m/>
    <m/>
    <m/>
    <m/>
    <m/>
    <s v="Não sabe"/>
    <m/>
    <m/>
    <m/>
    <m/>
    <m/>
    <m/>
    <m/>
    <m/>
    <m/>
    <m/>
    <s v="Sim"/>
    <n v="0"/>
    <n v="0"/>
    <n v="100"/>
    <n v="0"/>
    <n v="0"/>
    <s v="Cobertura vegetal (árvores, sombra natural), Bebedouros"/>
    <m/>
    <m/>
    <s v="Sim"/>
    <m/>
    <m/>
    <m/>
    <m/>
    <s v="Sim"/>
    <m/>
    <m/>
    <x v="0"/>
    <x v="1"/>
    <s v="Picadeira, Trator, Plantadeira, Ensiladeira"/>
    <s v="Sim"/>
    <m/>
    <s v="Sim"/>
    <m/>
    <s v="Sim"/>
    <m/>
    <m/>
    <s v="Sim"/>
    <m/>
    <m/>
    <x v="2"/>
    <s v="Nenhuma das anteriores"/>
    <m/>
    <m/>
    <m/>
    <m/>
    <m/>
    <n v="3"/>
    <n v="3"/>
    <n v="100"/>
    <n v="27"/>
    <n v="13"/>
    <n v="3"/>
    <n v="3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Linha de ordenha, Identificação de animais tratados com antibiótico"/>
    <s v="Sim"/>
    <s v="Sim"/>
    <s v="Sim"/>
    <s v="Sim"/>
    <m/>
    <m/>
    <s v="Sim"/>
    <s v="Inseminação artificial/IATF, Natural controlada"/>
    <m/>
    <s v="Sim"/>
    <s v="Sim"/>
    <m/>
    <x v="0"/>
    <x v="0"/>
    <s v="Ano todo"/>
    <s v="Sim"/>
    <s v="Cana-de-açúcar, Capineira, Silagem de milho"/>
    <s v="Sim"/>
    <s v="Sim"/>
    <m/>
    <s v="Sim"/>
    <m/>
    <m/>
    <m/>
    <m/>
    <m/>
    <n v="4"/>
    <n v="2.4500000000000002"/>
    <n v="1.99"/>
    <n v="2.5499999999999998"/>
    <s v="Volume de leite entregue, Nível de CCS, Nível de CBT, Teor de gordura, Teor de proteína"/>
    <s v="Sim"/>
    <s v="Sim"/>
    <s v="Sim"/>
    <s v="Sim"/>
    <s v="Sim"/>
    <m/>
    <m/>
    <x v="2"/>
    <x v="0"/>
    <x v="0"/>
    <x v="1"/>
    <x v="3"/>
  </r>
  <r>
    <m/>
    <x v="0"/>
    <x v="1"/>
    <x v="1"/>
    <x v="0"/>
    <x v="0"/>
    <s v="Alvenaria"/>
    <s v="Não possui"/>
    <s v="Alvenaria"/>
    <s v="CAR - Cadastro Ambiental Rural, Cursos d’água/riacho/nascentes/mina, Vegetação nativa/mata/floresta, Área de preservação permanentes, Área de reserva legal, Serviço de telefonia"/>
    <s v="Sim"/>
    <s v="Sim"/>
    <s v="Sim"/>
    <s v="Sim"/>
    <s v="Sim"/>
    <m/>
    <m/>
    <s v="Sim"/>
    <n v="25"/>
    <n v="5"/>
    <x v="0"/>
    <x v="5"/>
    <x v="1"/>
    <n v="70"/>
    <n v="30"/>
    <n v="0"/>
    <n v="0"/>
    <n v="0"/>
    <n v="0"/>
    <n v="100"/>
    <n v="0"/>
    <n v="0"/>
    <n v="0"/>
    <n v="0"/>
    <x v="0"/>
    <n v="70"/>
    <n v="0"/>
    <n v="0"/>
    <n v="15"/>
    <n v="15"/>
    <n v="95"/>
    <n v="5"/>
    <n v="0"/>
    <s v="Não recebe benefício do governo"/>
    <m/>
    <m/>
    <m/>
    <m/>
    <m/>
    <m/>
    <m/>
    <m/>
    <m/>
    <s v="Sim"/>
    <x v="0"/>
    <x v="1"/>
    <s v="Por gostar, Por proporcionar renda mensal, Combina com outras explorações da propriedade"/>
    <s v="Sim"/>
    <m/>
    <s v="Sim"/>
    <m/>
    <s v="Sim"/>
    <m/>
    <m/>
    <m/>
    <m/>
    <s v="Custo dos insumos"/>
    <m/>
    <m/>
    <m/>
    <m/>
    <m/>
    <s v="Sim"/>
    <m/>
    <m/>
    <m/>
    <m/>
    <m/>
    <m/>
    <s v="Qualidade genética dos animais, Alimentação do rebanho, Conhecimento de técnicas eficientes"/>
    <m/>
    <m/>
    <s v="Sim"/>
    <s v="Sim"/>
    <m/>
    <m/>
    <m/>
    <s v="Sim"/>
    <m/>
    <x v="0"/>
    <x v="2"/>
    <x v="1"/>
    <s v="Não utilizou crédito"/>
    <m/>
    <m/>
    <m/>
    <m/>
    <m/>
    <m/>
    <s v="Sim"/>
    <s v="Não precisou de crédito"/>
    <m/>
    <m/>
    <m/>
    <m/>
    <s v="Sim"/>
    <m/>
    <n v="400"/>
    <n v="400"/>
    <n v="400"/>
    <n v="27.916666666666668"/>
    <n v="25"/>
    <n v="30"/>
    <n v="95"/>
    <n v="0"/>
    <n v="0"/>
    <n v="1"/>
    <n v="4"/>
    <n v="12"/>
    <n v="16.5"/>
    <x v="0"/>
    <x v="1"/>
    <x v="1"/>
    <n v="1.4794520547945205"/>
    <n v="0"/>
    <n v="1.4794520547945205"/>
    <n v="15"/>
    <n v="2"/>
    <n v="3"/>
    <n v="0"/>
    <n v="10"/>
    <n v="8"/>
    <n v="0"/>
    <n v="0"/>
    <n v="1"/>
    <n v="0"/>
    <n v="60"/>
    <n v="40"/>
    <n v="0"/>
    <n v="0"/>
    <n v="0"/>
    <n v="0"/>
    <n v="0"/>
    <n v="0"/>
    <n v="60"/>
    <n v="40"/>
    <n v="0"/>
    <n v="0"/>
    <n v="0"/>
    <n v="0"/>
    <n v="0"/>
    <x v="0"/>
    <x v="0"/>
    <x v="0"/>
    <x v="0"/>
    <x v="0"/>
    <x v="0"/>
    <x v="0"/>
    <n v="2"/>
    <n v="2"/>
    <s v="De 2 em 2 dias"/>
    <x v="1"/>
    <s v="Brachiaria, Panicum"/>
    <s v="Sim"/>
    <s v="Sim"/>
    <m/>
    <m/>
    <m/>
    <m/>
    <m/>
    <m/>
    <m/>
    <s v="Controle de plantas invasoras"/>
    <m/>
    <m/>
    <m/>
    <m/>
    <m/>
    <m/>
    <m/>
    <m/>
    <x v="2"/>
    <s v="Produção de leite, Produtividade"/>
    <s v="Sim"/>
    <s v="Sim"/>
    <m/>
    <m/>
    <m/>
    <m/>
    <m/>
    <x v="0"/>
    <x v="0"/>
    <n v="2.35"/>
    <s v="Assistência técnica, Treinamento (curso, palestra, etc.), Outras mídias sociais"/>
    <s v="Sim"/>
    <m/>
    <s v="Sim"/>
    <m/>
    <m/>
    <s v="Sim"/>
    <n v="36"/>
    <s v="Alimentação do rebanho, Qualidade do leite"/>
    <m/>
    <m/>
    <m/>
    <s v="Sim"/>
    <m/>
    <m/>
    <m/>
    <m/>
    <m/>
    <s v="Sim"/>
    <m/>
    <s v="Mercado do leite"/>
    <m/>
    <m/>
    <s v="Sim"/>
    <m/>
    <m/>
    <m/>
    <m/>
    <m/>
    <m/>
    <m/>
    <m/>
    <n v="0"/>
    <n v="100"/>
    <n v="0"/>
    <n v="0"/>
    <n v="0"/>
    <s v="Galpão coberto, Ventiladores mecânicos, Bebedouros"/>
    <s v="Sim"/>
    <m/>
    <m/>
    <m/>
    <s v="Sim"/>
    <m/>
    <m/>
    <s v="Sim"/>
    <m/>
    <m/>
    <x v="0"/>
    <x v="1"/>
    <s v="Picadeira, Misturador de ração"/>
    <s v="Sim"/>
    <m/>
    <m/>
    <m/>
    <m/>
    <m/>
    <m/>
    <m/>
    <m/>
    <s v="Sim"/>
    <x v="3"/>
    <s v="Plantio direto, Cobertura do solo, Descarte adequado de embalagens (herbicida e defensivos), Rotação de culturas"/>
    <s v="Sim"/>
    <s v="Sim"/>
    <s v="Sim"/>
    <m/>
    <s v="Sim"/>
    <n v="0"/>
    <n v="3"/>
    <n v="100"/>
    <n v="23"/>
    <n v="12"/>
    <n v="0"/>
    <n v="3"/>
    <s v="Manqueira, Brucelose, Raiva, Botulismo, Vermifugação, Carrapaticida, IBR/BVD, Leptospirose"/>
    <s v="Sim"/>
    <s v="Sim"/>
    <m/>
    <s v="Sim"/>
    <m/>
    <s v="Sim"/>
    <s v="Sim"/>
    <s v="Sim"/>
    <s v="Sim"/>
    <s v="Sim"/>
    <s v="Teste da caneca, Pré-dipping, Pós-dipping, Linha de ordenha, Alimentação após a ordenha"/>
    <s v="Sim"/>
    <s v="Sim"/>
    <s v="Sim"/>
    <s v="Sim"/>
    <m/>
    <s v="Sim"/>
    <m/>
    <s v="Inseminação artificial/IATF"/>
    <m/>
    <s v="Sim"/>
    <m/>
    <m/>
    <x v="0"/>
    <x v="0"/>
    <s v="Ano todo"/>
    <s v="Sim"/>
    <s v="Silagem de milho"/>
    <m/>
    <m/>
    <m/>
    <s v="Sim"/>
    <m/>
    <m/>
    <m/>
    <m/>
    <m/>
    <n v="5"/>
    <n v="2.8"/>
    <n v="2.2999999999999998"/>
    <n v="2.9"/>
    <s v="Nível de CCS, Nível de CBT, Teor de gordura, Teor de proteína"/>
    <m/>
    <s v="Sim"/>
    <s v="Sim"/>
    <s v="Sim"/>
    <s v="Sim"/>
    <m/>
    <m/>
    <x v="1"/>
    <x v="0"/>
    <x v="0"/>
    <x v="1"/>
    <x v="0"/>
  </r>
  <r>
    <m/>
    <x v="10"/>
    <x v="0"/>
    <x v="4"/>
    <x v="0"/>
    <x v="1"/>
    <s v="Alvenaria"/>
    <s v="Alvenaria"/>
    <s v="Alvenaria"/>
    <s v="CAR - Cadastro Ambiental Rural, Cursos d’água/riacho/nascentes/mina, Vegetação nativa/mata/floresta, Área de preservação permanentes"/>
    <s v="Sim"/>
    <s v="Sim"/>
    <s v="Sim"/>
    <s v="Sim"/>
    <m/>
    <m/>
    <m/>
    <m/>
    <n v="45"/>
    <n v="23"/>
    <x v="0"/>
    <x v="2"/>
    <x v="0"/>
    <n v="0"/>
    <n v="0"/>
    <n v="0"/>
    <n v="100"/>
    <n v="0"/>
    <n v="0"/>
    <m/>
    <m/>
    <m/>
    <m/>
    <m/>
    <x v="0"/>
    <n v="60"/>
    <n v="15"/>
    <n v="15"/>
    <n v="0"/>
    <n v="10"/>
    <m/>
    <m/>
    <m/>
    <s v="Não recebe benefício do governo"/>
    <m/>
    <m/>
    <m/>
    <m/>
    <m/>
    <m/>
    <m/>
    <m/>
    <m/>
    <s v="Sim"/>
    <x v="3"/>
    <x v="0"/>
    <s v="A atividade leiteira é uma tradição na família, Combina com outras explorações da propriedade, Tem mercado garantido"/>
    <m/>
    <m/>
    <m/>
    <s v="Sim"/>
    <s v="Sim"/>
    <s v="Sim"/>
    <m/>
    <m/>
    <m/>
    <s v="Deficiência na qualificação da mão de obra, Custo dos insumos, Deficiência na infraestrutura de transporte/estradas"/>
    <m/>
    <s v="Sim"/>
    <m/>
    <m/>
    <m/>
    <s v="Sim"/>
    <s v="Sim"/>
    <m/>
    <m/>
    <m/>
    <m/>
    <m/>
    <s v="Mão de obra qualificada, Sanidade do rebanho, Conhecimento de técnicas eficientes"/>
    <s v="Sim"/>
    <s v="Sim"/>
    <m/>
    <m/>
    <m/>
    <m/>
    <m/>
    <s v="Sim"/>
    <m/>
    <x v="1"/>
    <x v="2"/>
    <x v="0"/>
    <s v="Plano Safra"/>
    <m/>
    <m/>
    <m/>
    <m/>
    <s v="Sim"/>
    <m/>
    <m/>
    <s v="Utilizou crédito"/>
    <m/>
    <m/>
    <m/>
    <m/>
    <m/>
    <s v="Sim"/>
    <n v="530"/>
    <n v="530"/>
    <n v="530"/>
    <n v="18.899999999999999"/>
    <n v="18.899999999999999"/>
    <n v="18.899999999999999"/>
    <n v="95"/>
    <n v="0"/>
    <n v="0"/>
    <n v="1"/>
    <n v="4"/>
    <n v="47"/>
    <n v="23"/>
    <x v="0"/>
    <x v="0"/>
    <x v="1"/>
    <n v="0.24657534246575341"/>
    <n v="2"/>
    <n v="2.2465753424657535"/>
    <n v="28"/>
    <n v="7"/>
    <n v="7"/>
    <n v="4"/>
    <n v="11"/>
    <n v="13"/>
    <n v="0"/>
    <n v="2"/>
    <n v="0"/>
    <n v="0"/>
    <n v="0"/>
    <n v="0"/>
    <n v="0"/>
    <n v="0"/>
    <n v="0"/>
    <n v="100"/>
    <n v="0"/>
    <n v="0"/>
    <n v="50"/>
    <n v="50"/>
    <n v="0"/>
    <n v="0"/>
    <n v="0"/>
    <n v="0"/>
    <n v="0"/>
    <x v="0"/>
    <x v="0"/>
    <x v="0"/>
    <x v="0"/>
    <x v="0"/>
    <x v="0"/>
    <x v="0"/>
    <n v="2"/>
    <n v="2"/>
    <s v="De 2 em 2 dias"/>
    <x v="1"/>
    <s v="Brachiaria, Panicum"/>
    <s v="Sim"/>
    <s v="Sim"/>
    <m/>
    <m/>
    <m/>
    <m/>
    <m/>
    <m/>
    <m/>
    <s v="Adubação anual de cobertura, Controle de plantas invasoras, Rotação de pastagens, Divisão em piquetes, Cerca elétrica nos piquetes"/>
    <m/>
    <m/>
    <m/>
    <s v="Sim"/>
    <s v="Sim"/>
    <s v="Sim"/>
    <m/>
    <m/>
    <x v="2"/>
    <s v="Não estabelece metas"/>
    <m/>
    <m/>
    <m/>
    <m/>
    <m/>
    <m/>
    <s v="Sim"/>
    <x v="0"/>
    <x v="0"/>
    <n v="2.16"/>
    <s v="Assistência técnica, Outras mídias sociais"/>
    <s v="Sim"/>
    <m/>
    <m/>
    <m/>
    <m/>
    <s v="Sim"/>
    <n v="12"/>
    <s v="Cálculo do custo de produção, Alimentação do rebanho, Melhoramento genético"/>
    <m/>
    <s v="Sim"/>
    <m/>
    <s v="Sim"/>
    <m/>
    <m/>
    <s v="Sim"/>
    <m/>
    <m/>
    <m/>
    <m/>
    <s v="Não sabe"/>
    <m/>
    <m/>
    <m/>
    <m/>
    <m/>
    <m/>
    <m/>
    <m/>
    <m/>
    <m/>
    <s v="Sim"/>
    <n v="0"/>
    <n v="0"/>
    <n v="75"/>
    <n v="0"/>
    <n v="25"/>
    <s v="Cobertura vegetal (árvores, sombra natural), Bebedouros"/>
    <m/>
    <m/>
    <s v="Sim"/>
    <m/>
    <m/>
    <m/>
    <m/>
    <s v="Sim"/>
    <m/>
    <m/>
    <x v="0"/>
    <x v="1"/>
    <s v="Picadeira, Trator, Distribuidor de calcário, Misturador de ração"/>
    <s v="Sim"/>
    <m/>
    <s v="Sim"/>
    <m/>
    <m/>
    <m/>
    <m/>
    <m/>
    <s v="Sim"/>
    <s v="Sim"/>
    <x v="1"/>
    <s v="Plantio direto, Cobertura do solo, Descarte adequado de embalagens (herbicida e defensivos)"/>
    <s v="Sim"/>
    <s v="Sim"/>
    <s v="Sim"/>
    <m/>
    <m/>
    <n v="6"/>
    <n v="3"/>
    <n v="110"/>
    <n v="19"/>
    <n v="15"/>
    <n v="0"/>
    <n v="0"/>
    <s v="Manqueira, Brucelose, Raiva, Enterotoxemia, Botulismo, Vermifugação, Carrapaticida, IBR/BVD, Leptospirose"/>
    <s v="Sim"/>
    <s v="Sim"/>
    <m/>
    <s v="Sim"/>
    <s v="Sim"/>
    <s v="Sim"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FIV/TE, Inseminação artificial/IATF, Natural controlada"/>
    <s v="Sim"/>
    <s v="Sim"/>
    <s v="Sim"/>
    <m/>
    <x v="0"/>
    <x v="0"/>
    <s v="Ano todo"/>
    <s v="Sim"/>
    <s v="Cana-de-açúcar, Capineira, Silagem de milho"/>
    <s v="Sim"/>
    <s v="Sim"/>
    <m/>
    <s v="Sim"/>
    <m/>
    <m/>
    <m/>
    <m/>
    <m/>
    <n v="8"/>
    <n v="2.4500000000000002"/>
    <n v="2.2999999999999998"/>
    <n v="2.7"/>
    <s v="Volume de leite entregue, Nível de CCS, Nível de CBT"/>
    <s v="Sim"/>
    <s v="Sim"/>
    <s v="Sim"/>
    <m/>
    <m/>
    <m/>
    <m/>
    <x v="1"/>
    <x v="0"/>
    <x v="0"/>
    <x v="1"/>
    <x v="0"/>
  </r>
  <r>
    <m/>
    <x v="3"/>
    <x v="1"/>
    <x v="1"/>
    <x v="0"/>
    <x v="1"/>
    <s v="Alvenaria"/>
    <s v="Não possui"/>
    <s v="Alvenaria"/>
    <s v="CAR - Cadastro Ambiental Rural, Cursos d’água/riacho/nascentes/mina, Vegetação nativa/mata/floresta, Área de preservação permanentes, Área de reserva legal"/>
    <s v="Sim"/>
    <s v="Sim"/>
    <s v="Sim"/>
    <s v="Sim"/>
    <s v="Sim"/>
    <m/>
    <m/>
    <m/>
    <n v="59"/>
    <n v="16"/>
    <x v="0"/>
    <x v="4"/>
    <x v="1"/>
    <n v="100"/>
    <n v="0"/>
    <n v="0"/>
    <n v="0"/>
    <n v="0"/>
    <n v="0"/>
    <n v="10"/>
    <n v="90"/>
    <n v="0"/>
    <n v="0"/>
    <n v="0"/>
    <x v="1"/>
    <n v="80"/>
    <n v="0"/>
    <n v="0"/>
    <n v="0"/>
    <n v="20"/>
    <m/>
    <m/>
    <m/>
    <s v="Não recebe benefício do governo"/>
    <m/>
    <m/>
    <m/>
    <m/>
    <m/>
    <m/>
    <m/>
    <m/>
    <m/>
    <s v="Sim"/>
    <x v="1"/>
    <x v="0"/>
    <s v="Por gostar, A atividade leiteira é uma tradição na família"/>
    <s v="Sim"/>
    <m/>
    <m/>
    <s v="Sim"/>
    <m/>
    <m/>
    <m/>
    <m/>
    <m/>
    <s v="Falta de mão de obra, Custo dos insumos, Legislação ambiental"/>
    <s v="Sim"/>
    <m/>
    <m/>
    <m/>
    <m/>
    <s v="Sim"/>
    <m/>
    <m/>
    <s v="Sim"/>
    <m/>
    <m/>
    <m/>
    <s v="Sanidade do rebanho, Qualidade genética dos animais, Manejo do rebanho"/>
    <m/>
    <s v="Sim"/>
    <s v="Sim"/>
    <m/>
    <s v="Sim"/>
    <m/>
    <m/>
    <m/>
    <m/>
    <x v="0"/>
    <x v="0"/>
    <x v="0"/>
    <s v="PRONAF"/>
    <s v="Sim"/>
    <m/>
    <m/>
    <m/>
    <m/>
    <m/>
    <m/>
    <s v="Utilizou crédito"/>
    <m/>
    <m/>
    <m/>
    <m/>
    <m/>
    <s v="Sim"/>
    <n v="450"/>
    <n v="450"/>
    <n v="450"/>
    <n v="15"/>
    <n v="15"/>
    <n v="15"/>
    <n v="100"/>
    <n v="0"/>
    <n v="0"/>
    <n v="0"/>
    <n v="0"/>
    <n v="65"/>
    <n v="49"/>
    <x v="0"/>
    <x v="0"/>
    <x v="0"/>
    <n v="3.4273972602739726"/>
    <n v="1"/>
    <n v="4.4273972602739722"/>
    <n v="32"/>
    <n v="16"/>
    <n v="4"/>
    <n v="1"/>
    <n v="44"/>
    <n v="4"/>
    <n v="0"/>
    <n v="1"/>
    <n v="1"/>
    <n v="0"/>
    <n v="0"/>
    <n v="0"/>
    <n v="25"/>
    <n v="25"/>
    <n v="0"/>
    <n v="50"/>
    <n v="0"/>
    <n v="0"/>
    <n v="50"/>
    <n v="50"/>
    <n v="0"/>
    <n v="0"/>
    <n v="0"/>
    <n v="0"/>
    <n v="0"/>
    <x v="0"/>
    <x v="0"/>
    <x v="0"/>
    <x v="0"/>
    <x v="0"/>
    <x v="0"/>
    <x v="0"/>
    <n v="2"/>
    <n v="2"/>
    <s v="De 2 em 2 dias"/>
    <x v="0"/>
    <s v="Brachiaria, Capim-elefante"/>
    <s v="Sim"/>
    <m/>
    <s v="Sim"/>
    <m/>
    <m/>
    <m/>
    <m/>
    <m/>
    <m/>
    <s v="Controle de plantas invasoras, Divisão em piquetes"/>
    <m/>
    <m/>
    <m/>
    <m/>
    <s v="Sim"/>
    <m/>
    <m/>
    <m/>
    <x v="0"/>
    <s v="Produção de leite, Produtividade, Venda de genética"/>
    <s v="Sim"/>
    <s v="Sim"/>
    <m/>
    <m/>
    <s v="Sim"/>
    <m/>
    <m/>
    <x v="1"/>
    <x v="1"/>
    <m/>
    <s v="Assistência técnica, Treinamento (curso, palestra, etc.), Outras mídias sociais"/>
    <s v="Sim"/>
    <m/>
    <s v="Sim"/>
    <m/>
    <m/>
    <s v="Sim"/>
    <n v="24"/>
    <s v="Alimentação do rebanho, Sanidade do rebanho, Manejo do rebanho"/>
    <m/>
    <m/>
    <m/>
    <s v="Sim"/>
    <s v="Sim"/>
    <s v="Sim"/>
    <m/>
    <m/>
    <m/>
    <m/>
    <m/>
    <s v="Planejamento da empresa rural, Melhoramento genético, Gerenciamento da produção"/>
    <s v="Sim"/>
    <m/>
    <m/>
    <m/>
    <m/>
    <m/>
    <s v="Sim"/>
    <s v="Sim"/>
    <m/>
    <m/>
    <m/>
    <n v="0"/>
    <n v="0"/>
    <n v="100"/>
    <n v="0"/>
    <n v="0"/>
    <s v="Cobertura vegetal (árvores, sombra natural), Bebedouros"/>
    <m/>
    <m/>
    <s v="Sim"/>
    <m/>
    <m/>
    <m/>
    <m/>
    <s v="Sim"/>
    <m/>
    <m/>
    <x v="0"/>
    <x v="1"/>
    <s v="Picadeira, Trator, Vagão forrageiro, Plantadeira, Grade, Arado, Ensiladeira, Distribuidor de calcário, Misturador de ração"/>
    <s v="Sim"/>
    <m/>
    <s v="Sim"/>
    <s v="Sim"/>
    <s v="Sim"/>
    <s v="Sim"/>
    <s v="Sim"/>
    <s v="Sim"/>
    <s v="Sim"/>
    <s v="Sim"/>
    <x v="0"/>
    <s v="Plantio direto, Cobertura do solo"/>
    <s v="Sim"/>
    <s v="Sim"/>
    <m/>
    <m/>
    <m/>
    <n v="3"/>
    <n v="3"/>
    <n v="90"/>
    <n v="30"/>
    <n v="15"/>
    <n v="12"/>
    <n v="1"/>
    <s v="Manqueira, Brucelose, Raiva, Botulismo, Vermifugação, Carrapaticida, IBR/BVD, Leptospirose"/>
    <s v="Sim"/>
    <s v="Sim"/>
    <m/>
    <s v="Sim"/>
    <m/>
    <s v="Sim"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FIV/TE, Inseminação artificial/IATF, Natural controlada"/>
    <s v="Sim"/>
    <s v="Sim"/>
    <s v="Sim"/>
    <m/>
    <x v="0"/>
    <x v="1"/>
    <s v="Ano todo"/>
    <s v="Sim"/>
    <s v="Capineira, Silagem de capim, Silagem de milho"/>
    <m/>
    <s v="Sim"/>
    <s v="Sim"/>
    <s v="Sim"/>
    <m/>
    <m/>
    <m/>
    <m/>
    <m/>
    <n v="5"/>
    <n v="2.6"/>
    <n v="2.57"/>
    <n v="2.79"/>
    <s v="Nível de CCS, Nível de CBT, Teor de gordura, Teor de proteína"/>
    <m/>
    <s v="Sim"/>
    <s v="Sim"/>
    <s v="Sim"/>
    <s v="Sim"/>
    <m/>
    <m/>
    <x v="0"/>
    <x v="0"/>
    <x v="1"/>
    <x v="0"/>
    <x v="0"/>
  </r>
  <r>
    <m/>
    <x v="0"/>
    <x v="0"/>
    <x v="3"/>
    <x v="0"/>
    <x v="0"/>
    <s v="Alvenaria"/>
    <s v="Alvenaria"/>
    <s v="Alvenaria"/>
    <s v="CAR - Cadastro Ambiental Rural, Cursos d’água/riacho/nascentes/mina, Vegetação nativa/mata/floresta, Área de preservação permanentes, Área de reserva legal"/>
    <s v="Sim"/>
    <s v="Sim"/>
    <s v="Sim"/>
    <s v="Sim"/>
    <s v="Sim"/>
    <m/>
    <m/>
    <m/>
    <n v="71"/>
    <n v="28"/>
    <x v="0"/>
    <x v="2"/>
    <x v="0"/>
    <n v="100"/>
    <n v="0"/>
    <n v="0"/>
    <n v="0"/>
    <n v="0"/>
    <n v="0"/>
    <n v="0"/>
    <n v="100"/>
    <n v="0"/>
    <n v="0"/>
    <n v="0"/>
    <x v="0"/>
    <n v="13"/>
    <n v="2"/>
    <n v="18"/>
    <n v="2"/>
    <n v="65"/>
    <m/>
    <m/>
    <m/>
    <s v="Não recebe benefício do governo"/>
    <m/>
    <m/>
    <m/>
    <m/>
    <m/>
    <m/>
    <m/>
    <m/>
    <m/>
    <s v="Sim"/>
    <x v="1"/>
    <x v="1"/>
    <s v="Por gostar, Por ser uma atividade lucrativa, Combina com outras explorações da propriedade"/>
    <s v="Sim"/>
    <s v="Sim"/>
    <m/>
    <m/>
    <s v="Sim"/>
    <m/>
    <m/>
    <m/>
    <m/>
    <s v="Falta de mão de obra, Deficiência na qualificação da mão de obra"/>
    <s v="Sim"/>
    <s v="Sim"/>
    <m/>
    <m/>
    <m/>
    <m/>
    <m/>
    <m/>
    <m/>
    <m/>
    <m/>
    <m/>
    <s v="Sanidade do rebanho, Alimentação do rebanho, Manejo do rebanho"/>
    <m/>
    <s v="Sim"/>
    <m/>
    <s v="Sim"/>
    <s v="Sim"/>
    <m/>
    <m/>
    <m/>
    <m/>
    <x v="0"/>
    <x v="0"/>
    <x v="0"/>
    <s v="Cooperativas de crédito ou bancos privados"/>
    <m/>
    <m/>
    <m/>
    <s v="Sim"/>
    <m/>
    <m/>
    <m/>
    <s v="Utilizou crédito"/>
    <m/>
    <m/>
    <m/>
    <m/>
    <m/>
    <s v="Sim"/>
    <n v="6500"/>
    <n v="6500"/>
    <n v="6500"/>
    <n v="30"/>
    <n v="30"/>
    <n v="30"/>
    <n v="99"/>
    <n v="0"/>
    <n v="0"/>
    <n v="0.5"/>
    <n v="0.5"/>
    <n v="170"/>
    <n v="120"/>
    <x v="0"/>
    <x v="0"/>
    <x v="0"/>
    <n v="0.27123287671232876"/>
    <n v="9"/>
    <n v="9.2712328767123289"/>
    <n v="244"/>
    <n v="34"/>
    <n v="19"/>
    <n v="6"/>
    <n v="67"/>
    <n v="97"/>
    <n v="0"/>
    <n v="0"/>
    <n v="1"/>
    <n v="0"/>
    <n v="0"/>
    <n v="0"/>
    <n v="0"/>
    <n v="100"/>
    <n v="0"/>
    <n v="0"/>
    <n v="0"/>
    <n v="0"/>
    <n v="0"/>
    <n v="15"/>
    <n v="85"/>
    <n v="0"/>
    <n v="0"/>
    <n v="0"/>
    <n v="0"/>
    <x v="0"/>
    <x v="0"/>
    <x v="0"/>
    <x v="0"/>
    <x v="0"/>
    <x v="0"/>
    <x v="0"/>
    <n v="2"/>
    <n v="2"/>
    <s v="Todos os dias"/>
    <x v="1"/>
    <s v="Brachiaria"/>
    <s v="Sim"/>
    <m/>
    <m/>
    <m/>
    <m/>
    <m/>
    <m/>
    <m/>
    <m/>
    <s v="Divisão em piquetes"/>
    <m/>
    <m/>
    <m/>
    <m/>
    <s v="Sim"/>
    <m/>
    <m/>
    <m/>
    <x v="0"/>
    <s v="Não estabelece metas"/>
    <m/>
    <m/>
    <m/>
    <m/>
    <m/>
    <m/>
    <s v="Sim"/>
    <x v="0"/>
    <x v="0"/>
    <n v="2.16"/>
    <s v="Assistência técnica, Treinamento (curso, palestra, etc.), Outras mídias sociais"/>
    <s v="Sim"/>
    <m/>
    <s v="Sim"/>
    <m/>
    <m/>
    <s v="Sim"/>
    <n v="72"/>
    <s v="Alimentação do rebanho, Sanidade do rebanho, Melhoramento genético"/>
    <m/>
    <m/>
    <m/>
    <s v="Sim"/>
    <s v="Sim"/>
    <m/>
    <s v="Sim"/>
    <m/>
    <m/>
    <m/>
    <m/>
    <s v="Cálculo do custo de produção, Mercado do leite, Qualidade do leite"/>
    <m/>
    <s v="Sim"/>
    <s v="Sim"/>
    <m/>
    <m/>
    <m/>
    <m/>
    <m/>
    <m/>
    <s v="Sim"/>
    <m/>
    <n v="0"/>
    <n v="100"/>
    <n v="0"/>
    <n v="0"/>
    <n v="0"/>
    <s v="Galpão coberto, Ventiladores mecânicos, Aspersores ou nebulizadores, Piso emborrachado ou drenante nas áreas de espera, Bebedouros"/>
    <s v="Sim"/>
    <m/>
    <m/>
    <m/>
    <s v="Sim"/>
    <m/>
    <m/>
    <s v="Sim"/>
    <m/>
    <s v="Sim"/>
    <x v="0"/>
    <x v="0"/>
    <s v="Trator, Vagão forrageiro, Plantadeira, Grade, Ensiladeira, Distribuidor de calcário, Misturador de ração"/>
    <m/>
    <m/>
    <s v="Sim"/>
    <s v="Sim"/>
    <s v="Sim"/>
    <s v="Sim"/>
    <m/>
    <s v="Sim"/>
    <s v="Sim"/>
    <s v="Sim"/>
    <x v="1"/>
    <s v="Plantio direto, Cobertura do solo, Descarte adequado de embalagens (herbicida e defensivos)"/>
    <s v="Sim"/>
    <s v="Sim"/>
    <s v="Sim"/>
    <m/>
    <m/>
    <n v="18"/>
    <n v="2.5"/>
    <n v="100"/>
    <n v="29"/>
    <n v="15"/>
    <n v="9.4"/>
    <n v="11.5"/>
    <s v="Manqueira, Brucelose, Raiva, Botulismo, Vermifugação, Carrapaticida, IBR/BVD, Leptospirose"/>
    <s v="Sim"/>
    <s v="Sim"/>
    <m/>
    <s v="Sim"/>
    <m/>
    <s v="Sim"/>
    <s v="Sim"/>
    <s v="Sim"/>
    <s v="Sim"/>
    <s v="Sim"/>
    <s v="Teste da caneca, Pré-dipping, Pós-dipping, Alimentação após a ordenha, Identificação de animais tratados com antibiótico"/>
    <s v="Sim"/>
    <s v="Sim"/>
    <s v="Sim"/>
    <m/>
    <m/>
    <s v="Sim"/>
    <s v="Sim"/>
    <s v="Inseminação artificial/IATF"/>
    <m/>
    <s v="Sim"/>
    <m/>
    <m/>
    <x v="0"/>
    <x v="1"/>
    <s v="Ano todo"/>
    <s v="Sim"/>
    <s v="Silagem de milho"/>
    <m/>
    <m/>
    <m/>
    <s v="Sim"/>
    <m/>
    <m/>
    <m/>
    <m/>
    <m/>
    <n v="4"/>
    <n v="2.5"/>
    <n v="3"/>
    <n v="2.6"/>
    <s v="Não sabe"/>
    <m/>
    <m/>
    <m/>
    <m/>
    <m/>
    <m/>
    <s v="Sim"/>
    <x v="0"/>
    <x v="0"/>
    <x v="1"/>
    <x v="1"/>
    <x v="3"/>
  </r>
  <r>
    <m/>
    <x v="5"/>
    <x v="0"/>
    <x v="4"/>
    <x v="1"/>
    <x v="1"/>
    <s v="Alvenaria"/>
    <s v="Alvenaria"/>
    <s v="Mista"/>
    <s v="CAR - Cadastro Ambiental Rural, Cursos d’água/riacho/nascentes/mina, Vegetação nativa/mata/floresta, Área de preservação permanentes, Área de reserva legal, Serviço de água potável"/>
    <s v="Sim"/>
    <s v="Sim"/>
    <s v="Sim"/>
    <s v="Sim"/>
    <s v="Sim"/>
    <s v="Sim"/>
    <m/>
    <m/>
    <n v="70"/>
    <n v="10"/>
    <x v="1"/>
    <x v="4"/>
    <x v="0"/>
    <n v="100"/>
    <n v="0"/>
    <n v="0"/>
    <n v="0"/>
    <n v="0"/>
    <n v="0"/>
    <n v="100"/>
    <n v="0"/>
    <n v="0"/>
    <n v="0"/>
    <n v="0"/>
    <x v="0"/>
    <n v="95"/>
    <n v="0"/>
    <n v="0"/>
    <n v="0"/>
    <n v="5"/>
    <m/>
    <m/>
    <m/>
    <s v="Não recebe benefício do governo"/>
    <m/>
    <m/>
    <m/>
    <m/>
    <m/>
    <m/>
    <m/>
    <m/>
    <m/>
    <s v="Sim"/>
    <x v="0"/>
    <x v="0"/>
    <s v="Por gostar, Por proporcionar renda mensal, A atividade leiteira é uma tradição na família"/>
    <s v="Sim"/>
    <m/>
    <s v="Sim"/>
    <s v="Sim"/>
    <m/>
    <m/>
    <m/>
    <m/>
    <m/>
    <s v="Falta de mão de obra, Deficiência na qualificação da mão de obra"/>
    <s v="Sim"/>
    <s v="Sim"/>
    <m/>
    <m/>
    <m/>
    <m/>
    <m/>
    <m/>
    <m/>
    <m/>
    <m/>
    <m/>
    <s v="Sanidade do rebanho, Qualidade genética dos animais, Reprodução do rebanho"/>
    <m/>
    <s v="Sim"/>
    <s v="Sim"/>
    <m/>
    <m/>
    <s v="Sim"/>
    <m/>
    <m/>
    <m/>
    <x v="2"/>
    <x v="1"/>
    <x v="1"/>
    <s v="PRONAF"/>
    <s v="Sim"/>
    <m/>
    <m/>
    <m/>
    <m/>
    <m/>
    <m/>
    <s v="Utilizou crédito"/>
    <m/>
    <m/>
    <m/>
    <m/>
    <m/>
    <s v="Sim"/>
    <n v="800"/>
    <n v="800"/>
    <n v="800"/>
    <n v="26.5"/>
    <n v="27"/>
    <n v="26"/>
    <n v="90"/>
    <n v="0"/>
    <n v="0"/>
    <n v="1"/>
    <n v="9"/>
    <n v="32"/>
    <n v="10"/>
    <x v="1"/>
    <x v="0"/>
    <x v="0"/>
    <n v="1.5342465753424657"/>
    <n v="3"/>
    <n v="4.5342465753424657"/>
    <n v="32"/>
    <n v="5"/>
    <n v="9"/>
    <n v="0"/>
    <n v="19"/>
    <n v="18"/>
    <n v="0"/>
    <n v="0"/>
    <n v="2"/>
    <n v="0"/>
    <n v="0"/>
    <n v="0"/>
    <n v="0"/>
    <n v="50"/>
    <n v="0"/>
    <n v="50"/>
    <n v="0"/>
    <n v="20"/>
    <n v="0"/>
    <n v="0"/>
    <n v="80"/>
    <n v="0"/>
    <n v="0"/>
    <n v="0"/>
    <n v="0"/>
    <x v="0"/>
    <x v="0"/>
    <x v="0"/>
    <x v="0"/>
    <x v="0"/>
    <x v="0"/>
    <x v="0"/>
    <n v="2"/>
    <n v="2"/>
    <s v="De 2 em 2 dias"/>
    <x v="0"/>
    <s v="Brachiaria, Capim-elefante"/>
    <s v="Sim"/>
    <m/>
    <s v="Sim"/>
    <m/>
    <m/>
    <m/>
    <m/>
    <m/>
    <m/>
    <s v="Adubação anual de cobertura, Controle de plantas invasoras"/>
    <m/>
    <m/>
    <m/>
    <m/>
    <m/>
    <m/>
    <m/>
    <m/>
    <x v="0"/>
    <s v="Produtividade"/>
    <m/>
    <s v="Sim"/>
    <m/>
    <m/>
    <m/>
    <m/>
    <m/>
    <x v="1"/>
    <x v="1"/>
    <m/>
    <s v="Assistência técnica, Vizinho, amigo ou parente"/>
    <s v="Sim"/>
    <s v="Sim"/>
    <m/>
    <m/>
    <m/>
    <m/>
    <n v="60"/>
    <s v="Mercado do leite, Sanidade do rebanho, Melhoramento genético"/>
    <m/>
    <m/>
    <s v="Sim"/>
    <m/>
    <s v="Sim"/>
    <m/>
    <s v="Sim"/>
    <m/>
    <m/>
    <m/>
    <m/>
    <s v="Planejamento da empresa rural, Cálculo do custo de produção, Gerenciamento da produção"/>
    <s v="Sim"/>
    <s v="Sim"/>
    <m/>
    <m/>
    <m/>
    <m/>
    <m/>
    <s v="Sim"/>
    <m/>
    <m/>
    <m/>
    <n v="0"/>
    <n v="0"/>
    <n v="50"/>
    <n v="0"/>
    <n v="50"/>
    <s v="Sombrite ou tela de sombreamento, Cobertura vegetal (árvores, sombra natural), Ventiladores mecânicos, Bebedouros"/>
    <m/>
    <s v="Sim"/>
    <s v="Sim"/>
    <m/>
    <s v="Sim"/>
    <m/>
    <m/>
    <s v="Sim"/>
    <m/>
    <m/>
    <x v="0"/>
    <x v="0"/>
    <s v="Picadeira, Trator, Misturador de ração"/>
    <s v="Sim"/>
    <m/>
    <s v="Sim"/>
    <m/>
    <m/>
    <m/>
    <m/>
    <m/>
    <m/>
    <s v="Sim"/>
    <x v="1"/>
    <s v="Plantio direto, Cobertura do solo, Rotação de culturas"/>
    <s v="Sim"/>
    <s v="Sim"/>
    <m/>
    <m/>
    <s v="Sim"/>
    <n v="1"/>
    <n v="3"/>
    <n v="100"/>
    <n v="22"/>
    <n v="9.5"/>
    <n v="0"/>
    <n v="0"/>
    <s v="Manqueira, Brucelose, Raiva, Botulismo, Vermifugação, Carrapaticida, IBR/BVD, Leptospirose"/>
    <s v="Sim"/>
    <s v="Sim"/>
    <m/>
    <s v="Sim"/>
    <m/>
    <s v="Sim"/>
    <s v="Sim"/>
    <s v="Sim"/>
    <s v="Sim"/>
    <s v="Sim"/>
    <s v="Teste da caneca, Pré-dipping, Pós-dipping, Linha de ordenha, Identificação de animais tratados com antibiótico"/>
    <s v="Sim"/>
    <s v="Sim"/>
    <s v="Sim"/>
    <s v="Sim"/>
    <m/>
    <m/>
    <s v="Sim"/>
    <s v="Inseminação artificial/IATF"/>
    <m/>
    <s v="Sim"/>
    <m/>
    <m/>
    <x v="0"/>
    <x v="0"/>
    <s v="Ano todo"/>
    <s v="Sim"/>
    <s v="Cana-de-açúcar, Capineira, Silagem de milho"/>
    <s v="Sim"/>
    <s v="Sim"/>
    <m/>
    <s v="Sim"/>
    <m/>
    <m/>
    <m/>
    <m/>
    <m/>
    <n v="15"/>
    <n v="2.6"/>
    <n v="2.75"/>
    <n v="2.95"/>
    <s v="Volume de leite entregue, Nível de CCS, Nível de CBT, Teor de gordura, Teor de proteína"/>
    <s v="Sim"/>
    <s v="Sim"/>
    <s v="Sim"/>
    <s v="Sim"/>
    <s v="Sim"/>
    <m/>
    <m/>
    <x v="0"/>
    <x v="0"/>
    <x v="0"/>
    <x v="1"/>
    <x v="0"/>
  </r>
  <r>
    <m/>
    <x v="6"/>
    <x v="1"/>
    <x v="0"/>
    <x v="0"/>
    <x v="0"/>
    <s v="Alvenaria"/>
    <s v="Não possui"/>
    <s v="Mista"/>
    <s v="CAR - Cadastro Ambiental Rural, Cursos d’água/riacho/nascentes/mina, Vegetação nativa/mata/floresta, Área de preservação permanentes, Área de reserva legal, Serviço de esgoto doméstico tratado, Serviço de telefonia"/>
    <s v="Sim"/>
    <s v="Sim"/>
    <s v="Sim"/>
    <s v="Sim"/>
    <s v="Sim"/>
    <m/>
    <s v="Sim"/>
    <s v="Sim"/>
    <n v="84"/>
    <n v="50"/>
    <x v="0"/>
    <x v="3"/>
    <x v="1"/>
    <n v="77"/>
    <n v="23"/>
    <n v="0"/>
    <n v="0"/>
    <n v="0"/>
    <n v="0"/>
    <n v="100"/>
    <n v="0"/>
    <n v="0"/>
    <n v="0"/>
    <n v="0"/>
    <x v="0"/>
    <n v="95"/>
    <n v="5"/>
    <n v="0"/>
    <n v="0"/>
    <n v="0"/>
    <m/>
    <m/>
    <m/>
    <s v="PRONAF, Seguro Safra"/>
    <m/>
    <m/>
    <s v="Sim"/>
    <m/>
    <s v="Sim"/>
    <m/>
    <m/>
    <m/>
    <m/>
    <m/>
    <x v="2"/>
    <x v="1"/>
    <s v="Por ser uma atividade lucrativa, A atividade leiteira é uma tradição na família, Tem mercado garantido"/>
    <m/>
    <s v="Sim"/>
    <m/>
    <s v="Sim"/>
    <m/>
    <s v="Sim"/>
    <m/>
    <m/>
    <m/>
    <s v="Falta de mão de obra"/>
    <s v="Sim"/>
    <m/>
    <m/>
    <m/>
    <m/>
    <m/>
    <m/>
    <m/>
    <m/>
    <m/>
    <m/>
    <m/>
    <s v="Mão de obra qualificada, Alimentação do rebanho, Reprodução do rebanho"/>
    <s v="Sim"/>
    <m/>
    <m/>
    <s v="Sim"/>
    <m/>
    <s v="Sim"/>
    <m/>
    <m/>
    <m/>
    <x v="0"/>
    <x v="0"/>
    <x v="1"/>
    <s v="Não utilizou crédito"/>
    <m/>
    <m/>
    <m/>
    <m/>
    <m/>
    <m/>
    <s v="Sim"/>
    <s v="Não precisou de crédito"/>
    <m/>
    <m/>
    <m/>
    <m/>
    <s v="Sim"/>
    <m/>
    <n v="1325"/>
    <n v="1250"/>
    <n v="1400"/>
    <n v="27"/>
    <n v="26"/>
    <n v="28"/>
    <n v="100"/>
    <n v="0"/>
    <n v="0"/>
    <n v="0"/>
    <n v="0"/>
    <n v="130"/>
    <n v="50"/>
    <x v="0"/>
    <x v="0"/>
    <x v="0"/>
    <n v="4.4876712328767123"/>
    <n v="0"/>
    <n v="4.4876712328767123"/>
    <n v="55"/>
    <n v="8"/>
    <n v="8"/>
    <n v="3"/>
    <n v="25"/>
    <n v="15"/>
    <n v="0"/>
    <n v="0"/>
    <n v="0"/>
    <n v="0"/>
    <n v="0"/>
    <n v="0"/>
    <n v="50"/>
    <n v="50"/>
    <n v="0"/>
    <n v="0"/>
    <n v="0"/>
    <n v="30"/>
    <n v="30"/>
    <n v="40"/>
    <n v="0"/>
    <n v="0"/>
    <n v="0"/>
    <n v="0"/>
    <n v="0"/>
    <x v="0"/>
    <x v="0"/>
    <x v="0"/>
    <x v="0"/>
    <x v="0"/>
    <x v="0"/>
    <x v="0"/>
    <n v="2"/>
    <n v="2"/>
    <s v="De 2 em 2 dias"/>
    <x v="0"/>
    <s v="Brachiaria"/>
    <s v="Sim"/>
    <m/>
    <m/>
    <m/>
    <m/>
    <m/>
    <m/>
    <m/>
    <m/>
    <s v="Controle de plantas invasoras"/>
    <m/>
    <m/>
    <m/>
    <m/>
    <m/>
    <m/>
    <m/>
    <m/>
    <x v="0"/>
    <s v="Produção de leite, Produtividade"/>
    <s v="Sim"/>
    <s v="Sim"/>
    <m/>
    <m/>
    <m/>
    <m/>
    <m/>
    <x v="0"/>
    <x v="0"/>
    <n v="2.42"/>
    <s v="Assistência técnica, Treinamento (curso, palestra, etc.)"/>
    <s v="Sim"/>
    <m/>
    <s v="Sim"/>
    <m/>
    <m/>
    <m/>
    <n v="30"/>
    <s v="Planejamento da empresa rural, Cálculo do custo de produção, Alimentação do rebanho"/>
    <s v="Sim"/>
    <s v="Sim"/>
    <m/>
    <s v="Sim"/>
    <m/>
    <m/>
    <m/>
    <m/>
    <m/>
    <m/>
    <m/>
    <s v="Produção de leite e meio ambiente"/>
    <m/>
    <m/>
    <m/>
    <m/>
    <m/>
    <m/>
    <m/>
    <m/>
    <s v="Sim"/>
    <m/>
    <m/>
    <n v="0"/>
    <n v="95"/>
    <n v="0"/>
    <n v="0"/>
    <n v="5"/>
    <s v="Galpão coberto, Sombrite ou tela de sombreamento, Cobertura vegetal (árvores, sombra natural), Ventiladores mecânicos, Bebedouros"/>
    <s v="Sim"/>
    <s v="Sim"/>
    <s v="Sim"/>
    <m/>
    <s v="Sim"/>
    <m/>
    <m/>
    <s v="Sim"/>
    <m/>
    <m/>
    <x v="0"/>
    <x v="0"/>
    <s v="Picadeira, Balança para os animais, Trator, Plantadeira, Grade, Arado, Ensiladeira, Distribuidor de calcário, Misturador de ração"/>
    <s v="Sim"/>
    <s v="Sim"/>
    <s v="Sim"/>
    <m/>
    <s v="Sim"/>
    <s v="Sim"/>
    <s v="Sim"/>
    <s v="Sim"/>
    <s v="Sim"/>
    <s v="Sim"/>
    <x v="1"/>
    <s v="Cobertura do solo, Descarte adequado de embalagens (herbicida e defensivos), Tratamento de efluentes da residência"/>
    <m/>
    <s v="Sim"/>
    <s v="Sim"/>
    <s v="Sim"/>
    <m/>
    <n v="3"/>
    <n v="3"/>
    <n v="80"/>
    <n v="26"/>
    <n v="15.4"/>
    <n v="8"/>
    <n v="5"/>
    <s v="Manqueira, Brucelose, Paratifo, Raiva, Botulismo, Vermifugação, Carrapaticida, IBR/BVD, Leptospirose"/>
    <s v="Sim"/>
    <s v="Sim"/>
    <s v="Sim"/>
    <s v="Sim"/>
    <m/>
    <s v="Sim"/>
    <s v="Sim"/>
    <s v="Sim"/>
    <s v="Sim"/>
    <s v="Sim"/>
    <s v="Pré-dipping, Pós-dipping, Alimentação após a ordenha"/>
    <m/>
    <s v="Sim"/>
    <s v="Sim"/>
    <m/>
    <m/>
    <s v="Sim"/>
    <m/>
    <s v="FIV/TE, Inseminação artificial/IATF, Natural controlada"/>
    <s v="Sim"/>
    <s v="Sim"/>
    <s v="Sim"/>
    <m/>
    <x v="0"/>
    <x v="0"/>
    <s v="Ano todo"/>
    <s v="Sim"/>
    <s v="Silagem de milho"/>
    <m/>
    <m/>
    <m/>
    <s v="Sim"/>
    <m/>
    <m/>
    <m/>
    <m/>
    <m/>
    <n v="5"/>
    <n v="2.82"/>
    <n v="2.7"/>
    <n v="3.3"/>
    <s v="Nível de CCS, Nível de CBT, Teor de gordura, Teor de proteína"/>
    <m/>
    <s v="Sim"/>
    <s v="Sim"/>
    <s v="Sim"/>
    <s v="Sim"/>
    <m/>
    <m/>
    <x v="0"/>
    <x v="0"/>
    <x v="0"/>
    <x v="0"/>
    <x v="1"/>
  </r>
  <r>
    <m/>
    <x v="4"/>
    <x v="0"/>
    <x v="4"/>
    <x v="0"/>
    <x v="1"/>
    <s v="Alvenaria"/>
    <s v="Alvenaria"/>
    <s v="Alvenaria"/>
    <s v="CAR - Cadastro Ambiental Rural, Cursos d’água/riacho/nascentes/mina, Vegetação nativa/mata/floresta, Área de preservação permanentes, Serviço de água potável, Serviço de telefonia"/>
    <s v="Sim"/>
    <s v="Sim"/>
    <s v="Sim"/>
    <s v="Sim"/>
    <m/>
    <s v="Sim"/>
    <m/>
    <s v="Sim"/>
    <n v="57"/>
    <n v="31"/>
    <x v="0"/>
    <x v="4"/>
    <x v="0"/>
    <n v="100"/>
    <n v="0"/>
    <n v="0"/>
    <n v="0"/>
    <n v="0"/>
    <n v="0"/>
    <n v="100"/>
    <n v="0"/>
    <n v="0"/>
    <n v="0"/>
    <n v="0"/>
    <x v="0"/>
    <n v="50"/>
    <n v="0"/>
    <n v="0"/>
    <n v="0"/>
    <n v="50"/>
    <m/>
    <m/>
    <m/>
    <s v="Não recebe benefício do governo"/>
    <m/>
    <m/>
    <m/>
    <m/>
    <m/>
    <m/>
    <m/>
    <m/>
    <m/>
    <s v="Sim"/>
    <x v="0"/>
    <x v="0"/>
    <s v="Por gostar, Por ser uma atividade lucrativa"/>
    <s v="Sim"/>
    <s v="Sim"/>
    <m/>
    <m/>
    <m/>
    <m/>
    <m/>
    <m/>
    <m/>
    <s v="Falta de mão de obra"/>
    <s v="Sim"/>
    <m/>
    <m/>
    <m/>
    <m/>
    <m/>
    <m/>
    <m/>
    <m/>
    <m/>
    <m/>
    <m/>
    <s v="Mão de obra qualificada, Sanidade do rebanho, Manejo do rebanho"/>
    <s v="Sim"/>
    <s v="Sim"/>
    <m/>
    <m/>
    <s v="Sim"/>
    <m/>
    <m/>
    <m/>
    <m/>
    <x v="0"/>
    <x v="2"/>
    <x v="1"/>
    <s v="Não utilizou crédito"/>
    <m/>
    <m/>
    <m/>
    <m/>
    <m/>
    <m/>
    <s v="Sim"/>
    <s v="Não precisou de crédito"/>
    <m/>
    <m/>
    <m/>
    <m/>
    <s v="Sim"/>
    <m/>
    <n v="700"/>
    <n v="700"/>
    <n v="700"/>
    <n v="24"/>
    <n v="24"/>
    <n v="24"/>
    <n v="98"/>
    <n v="0"/>
    <n v="0"/>
    <n v="0"/>
    <n v="2"/>
    <n v="22"/>
    <n v="11.7"/>
    <x v="0"/>
    <x v="0"/>
    <x v="1"/>
    <n v="0.40273972602739727"/>
    <n v="3"/>
    <n v="3.4027397260273973"/>
    <n v="33"/>
    <n v="7"/>
    <n v="5"/>
    <n v="0"/>
    <n v="20"/>
    <n v="15"/>
    <n v="1"/>
    <n v="0"/>
    <n v="2"/>
    <n v="0"/>
    <n v="0"/>
    <n v="0"/>
    <n v="50"/>
    <n v="50"/>
    <n v="0"/>
    <n v="0"/>
    <n v="0"/>
    <n v="0"/>
    <n v="20"/>
    <n v="60"/>
    <n v="0"/>
    <n v="20"/>
    <n v="0"/>
    <n v="0"/>
    <n v="0"/>
    <x v="0"/>
    <x v="0"/>
    <x v="0"/>
    <x v="0"/>
    <x v="0"/>
    <x v="0"/>
    <x v="0"/>
    <n v="2"/>
    <n v="2"/>
    <s v="De 2 em 2 dias"/>
    <x v="1"/>
    <s v="Brachiaria, Capim-elefante"/>
    <s v="Sim"/>
    <m/>
    <s v="Sim"/>
    <m/>
    <m/>
    <m/>
    <m/>
    <m/>
    <m/>
    <s v="Correção e adubação do solo na implantação, Controle de plantas invasoras, Divisão em piquetes, Cerca elétrica nos piquetes"/>
    <s v="Sim"/>
    <m/>
    <m/>
    <m/>
    <s v="Sim"/>
    <s v="Sim"/>
    <m/>
    <m/>
    <x v="2"/>
    <s v="Produção de leite, Produtividade"/>
    <s v="Sim"/>
    <s v="Sim"/>
    <m/>
    <m/>
    <m/>
    <m/>
    <m/>
    <x v="0"/>
    <x v="0"/>
    <n v="2.33"/>
    <s v="Assistência técnica, Jornais e revistas agropecuários, Outras mídias sociais"/>
    <s v="Sim"/>
    <m/>
    <m/>
    <s v="Sim"/>
    <m/>
    <s v="Sim"/>
    <n v="12"/>
    <s v="Planejamento da empresa rural, Cálculo do custo de produção, Manejo do rebanho"/>
    <s v="Sim"/>
    <s v="Sim"/>
    <m/>
    <m/>
    <m/>
    <s v="Sim"/>
    <m/>
    <m/>
    <m/>
    <m/>
    <m/>
    <s v="Não sabe"/>
    <m/>
    <m/>
    <m/>
    <m/>
    <m/>
    <m/>
    <m/>
    <m/>
    <m/>
    <m/>
    <s v="Sim"/>
    <n v="35"/>
    <n v="0"/>
    <n v="0"/>
    <n v="0"/>
    <n v="65"/>
    <s v="Galpão coberto, Sombrite ou tela de sombreamento, Ventiladores mecânicos, Aspersores ou nebulizadores, Sistema de resfriamento evaporativo, Bebedouros"/>
    <s v="Sim"/>
    <s v="Sim"/>
    <m/>
    <m/>
    <s v="Sim"/>
    <m/>
    <s v="Sim"/>
    <s v="Sim"/>
    <m/>
    <m/>
    <x v="0"/>
    <x v="1"/>
    <s v="Picadeira, Balança para os animais, Misturador de ração"/>
    <s v="Sim"/>
    <s v="Sim"/>
    <m/>
    <m/>
    <m/>
    <m/>
    <m/>
    <m/>
    <m/>
    <s v="Sim"/>
    <x v="3"/>
    <s v="Plantio direto, Cobertura do solo, Descarte adequado de embalagens (herbicida e defensivos)"/>
    <s v="Sim"/>
    <s v="Sim"/>
    <s v="Sim"/>
    <m/>
    <m/>
    <n v="1"/>
    <n v="2"/>
    <n v="90"/>
    <n v="30"/>
    <n v="15"/>
    <n v="5"/>
    <n v="2"/>
    <s v="Manqueira, Brucelose, Raiva, Botulismo, Vermifugação, Carrapaticida, IBR/BVD, Leptospirose"/>
    <s v="Sim"/>
    <s v="Sim"/>
    <m/>
    <s v="Sim"/>
    <m/>
    <s v="Sim"/>
    <s v="Sim"/>
    <s v="Sim"/>
    <s v="Sim"/>
    <s v="Sim"/>
    <s v="Teste da caneca, Pré-dipping, Pós-dipping, Linha de ordenha, Alimentação durante a ordenha, Alimentação após a ordenha, Identificação de animais tratados com antibiótico"/>
    <s v="Sim"/>
    <s v="Sim"/>
    <s v="Sim"/>
    <s v="Sim"/>
    <s v="Sim"/>
    <s v="Sim"/>
    <s v="Sim"/>
    <s v="FIV/TE, Inseminação artificial/IATF, Natural controlada"/>
    <s v="Sim"/>
    <s v="Sim"/>
    <s v="Sim"/>
    <m/>
    <x v="0"/>
    <x v="1"/>
    <s v="Ano todo"/>
    <s v="Sim"/>
    <s v="Cana-de-açúcar, Capineira, Silagem de milho, Silagem de sorgo"/>
    <s v="Sim"/>
    <s v="Sim"/>
    <m/>
    <s v="Sim"/>
    <s v="Sim"/>
    <m/>
    <m/>
    <m/>
    <m/>
    <n v="15"/>
    <n v="2.7"/>
    <n v="2.7"/>
    <n v="3"/>
    <s v="Volume de leite entregue, Nível de CCS, Nível de CBT, Teor de gordura, Teor de proteína"/>
    <s v="Sim"/>
    <s v="Sim"/>
    <s v="Sim"/>
    <s v="Sim"/>
    <s v="Sim"/>
    <m/>
    <m/>
    <x v="0"/>
    <x v="0"/>
    <x v="0"/>
    <x v="1"/>
    <x v="0"/>
  </r>
  <r>
    <m/>
    <x v="11"/>
    <x v="0"/>
    <x v="3"/>
    <x v="1"/>
    <x v="0"/>
    <s v="Alvenaria"/>
    <s v="Não possui"/>
    <s v="Alvenaria"/>
    <s v="CAR - Cadastro Ambiental Rural, Cursos d’água/riacho/nascentes/mina, Vegetação nativa/mata/floresta, Área de preservação permanentes, Área de reserva legal, Serviço de água potável, Serviço de telefonia"/>
    <s v="Sim"/>
    <s v="Sim"/>
    <s v="Sim"/>
    <s v="Sim"/>
    <s v="Sim"/>
    <s v="Sim"/>
    <m/>
    <s v="Sim"/>
    <n v="58"/>
    <n v="40"/>
    <x v="0"/>
    <x v="5"/>
    <x v="1"/>
    <n v="100"/>
    <n v="0"/>
    <n v="0"/>
    <n v="0"/>
    <n v="0"/>
    <n v="0"/>
    <n v="100"/>
    <n v="0"/>
    <n v="0"/>
    <n v="0"/>
    <n v="0"/>
    <x v="0"/>
    <n v="100"/>
    <n v="0"/>
    <n v="0"/>
    <n v="0"/>
    <n v="0"/>
    <m/>
    <m/>
    <m/>
    <s v="Não recebe benefício do governo"/>
    <m/>
    <m/>
    <m/>
    <m/>
    <m/>
    <m/>
    <m/>
    <m/>
    <m/>
    <s v="Sim"/>
    <x v="1"/>
    <x v="1"/>
    <s v="Por proporcionar renda mensal"/>
    <m/>
    <m/>
    <s v="Sim"/>
    <m/>
    <m/>
    <m/>
    <m/>
    <m/>
    <m/>
    <s v="Falta de mão de obra, Deficiência na qualificação da mão de obra, Custo dos insumos"/>
    <s v="Sim"/>
    <s v="Sim"/>
    <m/>
    <m/>
    <m/>
    <s v="Sim"/>
    <m/>
    <m/>
    <m/>
    <m/>
    <m/>
    <m/>
    <s v="Alimentação do rebanho, Reprodução do rebanho, Preço do leite"/>
    <m/>
    <m/>
    <m/>
    <s v="Sim"/>
    <m/>
    <s v="Sim"/>
    <s v="Sim"/>
    <m/>
    <m/>
    <x v="0"/>
    <x v="1"/>
    <x v="0"/>
    <s v="Cooperativas de crédito ou bancos privados"/>
    <m/>
    <m/>
    <m/>
    <s v="Sim"/>
    <m/>
    <m/>
    <m/>
    <s v="Utilizou crédito"/>
    <m/>
    <m/>
    <m/>
    <m/>
    <m/>
    <s v="Sim"/>
    <n v="3600"/>
    <n v="3200"/>
    <n v="4000"/>
    <n v="19"/>
    <n v="19"/>
    <n v="19"/>
    <n v="96.7"/>
    <n v="0"/>
    <n v="0"/>
    <n v="0.3"/>
    <n v="3"/>
    <n v="400"/>
    <n v="400"/>
    <x v="0"/>
    <x v="0"/>
    <x v="1"/>
    <n v="0.19726027397260273"/>
    <n v="9"/>
    <n v="9.1972602739726028"/>
    <n v="150"/>
    <n v="60"/>
    <n v="20"/>
    <n v="0"/>
    <n v="60"/>
    <n v="60"/>
    <n v="0"/>
    <n v="18"/>
    <n v="0"/>
    <n v="0"/>
    <n v="0"/>
    <n v="89"/>
    <n v="0"/>
    <n v="0"/>
    <n v="0"/>
    <n v="11"/>
    <n v="0"/>
    <n v="0"/>
    <n v="0"/>
    <n v="100"/>
    <n v="0"/>
    <n v="0"/>
    <n v="0"/>
    <n v="0"/>
    <n v="0"/>
    <x v="0"/>
    <x v="0"/>
    <x v="0"/>
    <x v="0"/>
    <x v="0"/>
    <x v="0"/>
    <x v="0"/>
    <n v="2"/>
    <n v="2"/>
    <s v="Todos os dias"/>
    <x v="0"/>
    <s v="Brachiaria"/>
    <s v="Sim"/>
    <m/>
    <m/>
    <m/>
    <m/>
    <m/>
    <m/>
    <m/>
    <m/>
    <s v="Controle de plantas invasoras"/>
    <m/>
    <m/>
    <m/>
    <m/>
    <m/>
    <m/>
    <m/>
    <m/>
    <x v="0"/>
    <s v="Produção de leite, Produtividade, Venda de animais"/>
    <s v="Sim"/>
    <s v="Sim"/>
    <m/>
    <m/>
    <m/>
    <s v="Sim"/>
    <m/>
    <x v="1"/>
    <x v="0"/>
    <n v="2.39"/>
    <s v="Assistência técnica"/>
    <s v="Sim"/>
    <m/>
    <m/>
    <m/>
    <m/>
    <m/>
    <n v="48"/>
    <s v="Planejamento da empresa rural, Alimentação do rebanho, Qualidade do leite"/>
    <s v="Sim"/>
    <m/>
    <m/>
    <s v="Sim"/>
    <m/>
    <m/>
    <m/>
    <m/>
    <m/>
    <s v="Sim"/>
    <m/>
    <s v="Sanidade do rebanho"/>
    <m/>
    <m/>
    <m/>
    <m/>
    <s v="Sim"/>
    <m/>
    <m/>
    <m/>
    <m/>
    <m/>
    <m/>
    <n v="0"/>
    <n v="100"/>
    <n v="0"/>
    <n v="0"/>
    <n v="0"/>
    <s v="Galpão coberto, Sombrite ou tela de sombreamento, Cobertura vegetal (árvores, sombra natural), Ventiladores mecânicos, Bebedouros"/>
    <s v="Sim"/>
    <s v="Sim"/>
    <s v="Sim"/>
    <m/>
    <s v="Sim"/>
    <m/>
    <m/>
    <s v="Sim"/>
    <m/>
    <m/>
    <x v="0"/>
    <x v="1"/>
    <s v="Balança para os animais, Trator, Vagão forrageiro, Grade, Misturador de ração"/>
    <m/>
    <s v="Sim"/>
    <s v="Sim"/>
    <s v="Sim"/>
    <m/>
    <s v="Sim"/>
    <m/>
    <m/>
    <m/>
    <s v="Sim"/>
    <x v="3"/>
    <s v="Plantio direto, Cobertura do solo, Descarte adequado de embalagens (herbicida e defensivos)"/>
    <s v="Sim"/>
    <s v="Sim"/>
    <s v="Sim"/>
    <m/>
    <m/>
    <n v="0"/>
    <n v="3"/>
    <n v="100"/>
    <n v="32"/>
    <n v="12"/>
    <n v="5"/>
    <n v="3"/>
    <s v="Manqueira, Brucelose, Raiva, Vermifugação, Carrapaticida, Leptospirose"/>
    <s v="Sim"/>
    <s v="Sim"/>
    <m/>
    <s v="Sim"/>
    <m/>
    <m/>
    <s v="Sim"/>
    <s v="Sim"/>
    <m/>
    <s v="Sim"/>
    <s v="Teste da caneca, Pré-dipping, Pós-dipping, Alimentação após a ordenha, Identificação de animais tratados com antibiótico"/>
    <s v="Sim"/>
    <s v="Sim"/>
    <s v="Sim"/>
    <m/>
    <m/>
    <s v="Sim"/>
    <s v="Sim"/>
    <s v="Natural não controlada"/>
    <m/>
    <m/>
    <m/>
    <s v="Sim"/>
    <x v="0"/>
    <x v="3"/>
    <s v="Ano todo"/>
    <s v="Sim"/>
    <s v="Silagem de milho"/>
    <m/>
    <m/>
    <m/>
    <s v="Sim"/>
    <m/>
    <m/>
    <m/>
    <m/>
    <m/>
    <n v="40"/>
    <n v="2.6"/>
    <n v="2.6"/>
    <n v="3.2"/>
    <s v="Volume de leite entregue, Nível de CCS, Nível de CBT, Teor de gordura, Teor de proteína"/>
    <s v="Sim"/>
    <s v="Sim"/>
    <s v="Sim"/>
    <s v="Sim"/>
    <s v="Sim"/>
    <m/>
    <m/>
    <x v="0"/>
    <x v="0"/>
    <x v="0"/>
    <x v="1"/>
    <x v="2"/>
  </r>
  <r>
    <m/>
    <x v="12"/>
    <x v="0"/>
    <x v="3"/>
    <x v="1"/>
    <x v="0"/>
    <s v="Alvenaria"/>
    <s v="Não possui"/>
    <s v="Alvenaria"/>
    <s v="Cursos d’água/riacho/nascentes/mina, Vegetação nativa/mata/floresta, Área de reserva legal, Serviço de água potável, Serviço de telefonia"/>
    <m/>
    <s v="Sim"/>
    <s v="Sim"/>
    <m/>
    <s v="Sim"/>
    <s v="Sim"/>
    <m/>
    <s v="Sim"/>
    <n v="55"/>
    <n v="15"/>
    <x v="0"/>
    <x v="2"/>
    <x v="0"/>
    <n v="52"/>
    <n v="48"/>
    <n v="0"/>
    <n v="0"/>
    <n v="0"/>
    <n v="0"/>
    <n v="11"/>
    <n v="89"/>
    <n v="0"/>
    <n v="0"/>
    <n v="0"/>
    <x v="0"/>
    <n v="80"/>
    <n v="0"/>
    <n v="0"/>
    <n v="0"/>
    <n v="20"/>
    <m/>
    <m/>
    <m/>
    <s v="Não recebe benefício do governo"/>
    <m/>
    <m/>
    <m/>
    <m/>
    <m/>
    <m/>
    <m/>
    <m/>
    <m/>
    <s v="Sim"/>
    <x v="3"/>
    <x v="1"/>
    <s v="A atividade leiteira é uma tradição na família, Combina com outras explorações da propriedade"/>
    <m/>
    <m/>
    <m/>
    <s v="Sim"/>
    <s v="Sim"/>
    <m/>
    <m/>
    <m/>
    <m/>
    <s v="Falta de mão de obra, Custo dos insumos, Legislação ambiental"/>
    <s v="Sim"/>
    <m/>
    <m/>
    <m/>
    <m/>
    <s v="Sim"/>
    <m/>
    <m/>
    <s v="Sim"/>
    <m/>
    <m/>
    <m/>
    <s v="Qualidade genética dos animais, Alimentação do rebanho"/>
    <m/>
    <m/>
    <s v="Sim"/>
    <s v="Sim"/>
    <m/>
    <m/>
    <m/>
    <m/>
    <m/>
    <x v="0"/>
    <x v="1"/>
    <x v="0"/>
    <s v="PRONAMPE"/>
    <m/>
    <m/>
    <s v="Sim"/>
    <m/>
    <m/>
    <m/>
    <m/>
    <s v="Utilizou crédito"/>
    <m/>
    <m/>
    <m/>
    <m/>
    <m/>
    <s v="Sim"/>
    <n v="3000"/>
    <n v="3000"/>
    <n v="3000"/>
    <n v="30"/>
    <n v="30"/>
    <n v="30"/>
    <n v="96.95"/>
    <n v="0"/>
    <n v="0"/>
    <n v="0.05"/>
    <n v="3"/>
    <n v="105"/>
    <n v="70"/>
    <x v="0"/>
    <x v="0"/>
    <x v="1"/>
    <n v="0.98630136986301364"/>
    <n v="10"/>
    <n v="10.986301369863014"/>
    <n v="100"/>
    <n v="20"/>
    <n v="12"/>
    <n v="7"/>
    <n v="40"/>
    <n v="40"/>
    <n v="0"/>
    <n v="1"/>
    <n v="1"/>
    <n v="0"/>
    <n v="0"/>
    <n v="95"/>
    <n v="0"/>
    <n v="5"/>
    <n v="0"/>
    <n v="0"/>
    <n v="0"/>
    <n v="0"/>
    <n v="33"/>
    <n v="33"/>
    <n v="34"/>
    <n v="0"/>
    <n v="0"/>
    <n v="0"/>
    <n v="0"/>
    <x v="0"/>
    <x v="0"/>
    <x v="0"/>
    <x v="0"/>
    <x v="0"/>
    <x v="0"/>
    <x v="0"/>
    <n v="2"/>
    <n v="2"/>
    <s v="Todos os dias"/>
    <x v="0"/>
    <s v="Brachiaria, Panicum, Cynodon"/>
    <s v="Sim"/>
    <s v="Sim"/>
    <m/>
    <m/>
    <m/>
    <m/>
    <s v="Sim"/>
    <m/>
    <m/>
    <s v="Nenhuma das anteriores"/>
    <m/>
    <m/>
    <m/>
    <m/>
    <m/>
    <m/>
    <s v="Sim"/>
    <m/>
    <x v="2"/>
    <s v="Produção de leite, Produtividade"/>
    <s v="Sim"/>
    <s v="Sim"/>
    <m/>
    <m/>
    <m/>
    <m/>
    <m/>
    <x v="1"/>
    <x v="0"/>
    <n v="2.75"/>
    <s v="Assistência técnica"/>
    <s v="Sim"/>
    <m/>
    <m/>
    <m/>
    <m/>
    <m/>
    <n v="36"/>
    <s v="Alimentação do rebanho, Sanidade do rebanho, Melhoramento genético"/>
    <m/>
    <m/>
    <m/>
    <s v="Sim"/>
    <s v="Sim"/>
    <m/>
    <s v="Sim"/>
    <m/>
    <m/>
    <m/>
    <m/>
    <s v="Cálculo do custo de produção"/>
    <m/>
    <s v="Sim"/>
    <m/>
    <m/>
    <m/>
    <m/>
    <m/>
    <m/>
    <m/>
    <m/>
    <m/>
    <n v="0"/>
    <n v="100"/>
    <n v="0"/>
    <n v="0"/>
    <n v="0"/>
    <s v="Galpão coberto, Ventiladores mecânicos, Aspersores ou nebulizadores, Bebedouros"/>
    <s v="Sim"/>
    <m/>
    <m/>
    <m/>
    <s v="Sim"/>
    <m/>
    <m/>
    <s v="Sim"/>
    <m/>
    <m/>
    <x v="0"/>
    <x v="0"/>
    <s v="Balança para os animais, Trator, Vagão forrageiro, Plantadeira, Grade, Arado, Ensiladeira, Distribuidor de calcário, Misturador de ração"/>
    <m/>
    <s v="Sim"/>
    <s v="Sim"/>
    <s v="Sim"/>
    <s v="Sim"/>
    <s v="Sim"/>
    <s v="Sim"/>
    <s v="Sim"/>
    <s v="Sim"/>
    <s v="Sim"/>
    <x v="3"/>
    <s v="Cobertura do solo, Descarte adequado de embalagens (herbicida e defensivos)"/>
    <m/>
    <s v="Sim"/>
    <s v="Sim"/>
    <m/>
    <m/>
    <n v="2"/>
    <n v="3"/>
    <n v="120"/>
    <n v="20"/>
    <n v="12"/>
    <n v="8.1999999999999993"/>
    <n v="9.4"/>
    <s v="Manqueira, Brucelose, Raiva, Botulismo, Vermifugação, Carrapaticida, IBR/BVD, Leptospirose"/>
    <s v="Sim"/>
    <s v="Sim"/>
    <m/>
    <s v="Sim"/>
    <m/>
    <s v="Sim"/>
    <s v="Sim"/>
    <s v="Sim"/>
    <s v="Sim"/>
    <s v="Sim"/>
    <s v="Teste da caneca, Pré-dipping, Pós-dipping, Linha de ordenha, Alimentação após a ordenha, Identificação de animais tratados com antibiótico"/>
    <s v="Sim"/>
    <s v="Sim"/>
    <s v="Sim"/>
    <s v="Sim"/>
    <m/>
    <s v="Sim"/>
    <s v="Sim"/>
    <s v="Inseminação artificial/IATF, Natural controlada"/>
    <m/>
    <s v="Sim"/>
    <s v="Sim"/>
    <m/>
    <x v="0"/>
    <x v="0"/>
    <s v="Ano todo"/>
    <s v="Sim"/>
    <s v="Silagem de milho"/>
    <m/>
    <m/>
    <m/>
    <s v="Sim"/>
    <m/>
    <m/>
    <m/>
    <m/>
    <m/>
    <n v="15"/>
    <n v="2.62"/>
    <n v="2.62"/>
    <n v="2.62"/>
    <s v="Volume de leite entregue, Nível de CCS, Nível de CBT, Teor de gordura, Teor de proteína"/>
    <s v="Sim"/>
    <s v="Sim"/>
    <s v="Sim"/>
    <s v="Sim"/>
    <s v="Sim"/>
    <m/>
    <m/>
    <x v="0"/>
    <x v="0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046AB-DBD7-4BA5-B8FD-CBCF9997E150}" name="Tabela dinâmica39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21:B42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 axis="axisRow" dataField="1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1"/>
  </rowFields>
  <rowItems count="2">
    <i>
      <x/>
    </i>
    <i>
      <x v="1"/>
    </i>
  </rowItems>
  <colItems count="1">
    <i/>
  </colItems>
  <dataFields count="1">
    <dataField name="Contagem de 7.5. Sabe qual o custo médio da sua produção de leite?" fld="191" subtotal="count" showDataAs="percentOfCol" baseField="191" baseItem="0" numFmtId="10"/>
  </dataFields>
  <formats count="2">
    <format dxfId="830">
      <pivotArea outline="0" collapsedLevelsAreSubtotals="1" fieldPosition="0"/>
    </format>
    <format dxfId="83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9227A-7BDB-4D0C-B08F-B2BCC0BB2C50}" name="Tabela dinâmica3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586:B596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Contagem de Bolsa família" fld="44" subtotal="count" baseField="0" baseItem="0"/>
    <dataField name="Contagem de Aposentadoria" fld="45" subtotal="count" baseField="0" baseItem="0"/>
    <dataField name="Contagem de PRONAF" fld="46" subtotal="count" baseField="0" baseItem="0"/>
    <dataField name="Contagem de PRONAMPE" fld="47" subtotal="count" baseField="0" baseItem="0"/>
    <dataField name="Contagem de Programa de Aquisição de Alimentos (PAA)" fld="49" subtotal="count" baseField="0" baseItem="0"/>
    <dataField name="Contagem de Programa de Garantia de Preços para a Agricultura Familiar (PGPAF)" fld="50" subtotal="count" baseField="0" baseItem="0"/>
    <dataField name="Contagem de Seguro Safra" fld="48" subtotal="count" baseField="0" baseItem="0"/>
    <dataField name="Contagem de Benefício de Prestação Continuada" fld="51" subtotal="count" baseField="0" baseItem="0"/>
    <dataField name="Contagem de Outro programa municipal/estadual" fld="52" subtotal="count" baseField="0" baseItem="0"/>
    <dataField name="Contagem de Não recebe benefício do governo" fld="53" subtotal="count" baseField="0" baseItem="0"/>
  </dataFields>
  <formats count="1">
    <format dxfId="8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64AB5-DD6D-49DA-A386-7F6BABB41997}" name="Tabela dinâmica51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548:B55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 axis="axisRow" dataField="1">
      <items count="5">
        <item x="0"/>
        <item x="1"/>
        <item x="2"/>
        <item x="3"/>
        <item t="default"/>
      </items>
    </pivotField>
  </pivotFields>
  <rowFields count="1">
    <field x="32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11.10. Como avalia a importância de um contrato formal com o laticínio?" fld="322" subtotal="count" showDataAs="percentOfCol" baseField="322" baseItem="0" numFmtId="10"/>
  </dataFields>
  <formats count="2">
    <format dxfId="827">
      <pivotArea outline="0" collapsedLevelsAreSubtotals="1" fieldPosition="0"/>
    </format>
    <format dxfId="82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509CC-C81D-4A9B-88C3-B1AB0825167D}" name="Tabela dinâmica15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18:B12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Média de 2.7. Origem da área própria utilizada na atividade leiteira: Herança ou doação (%)" fld="29" subtotal="average" baseField="0" baseItem="0" numFmtId="2"/>
    <dataField name="Média de 2.7. Origem da área própria utilizada na atividade leiteira: Compra (%)" fld="30" subtotal="average" baseField="0" baseItem="0" numFmtId="2"/>
    <dataField name="Média de 2.7. Origem da área própria utilizada na atividade leiteira: Posse ou usucapião (%)" fld="31" subtotal="average" baseField="0" baseItem="0" numFmtId="2"/>
    <dataField name="Média de 2.7. Origem da área própria utilizada na atividade leiteira: Titulação ou licença de ocupação (%)" fld="32" subtotal="average" baseField="0" baseItem="0" numFmtId="2"/>
    <dataField name="Média de 2.7. Origem da área própria utilizada na atividade leiteira: Outro (%)" fld="33" subtotal="average" baseField="0" baseItem="0" numFmtId="2"/>
  </dataFields>
  <formats count="1">
    <format dxfId="8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C4679-2D8C-4C5E-B5C5-44D4BF29B88D}" name="Tabela dinâmica31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82:B29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name="Média de 5.11.1. Número atual de cabeças no rebanho: Vaca em lactação" fld="126" subtotal="average" baseField="0" baseItem="0"/>
    <dataField name="Média de 5.11.1. Número atual de cabeças no rebanho: Vaca seca" fld="127" subtotal="average" baseField="0" baseItem="0"/>
    <dataField name="Média de 5.11.1. Número atual de cabeças no rebanho: Bezerra em aleitamento" fld="128" subtotal="average" baseField="0" baseItem="0"/>
    <dataField name="Média de 5.11.1. Número atual de cabeças no rebanho: Bezerro em aleitamento" fld="129" subtotal="average" baseField="0" baseItem="0"/>
    <dataField name="Média de 5.11.1. Número atual de cabeças no rebanho: Novilha em recria" fld="130" subtotal="average" baseField="0" baseItem="0"/>
    <dataField name="Média de 5.11.1. Número atual de cabeças no rebanho: Novilha em reprodução" fld="131" subtotal="average" baseField="0" baseItem="0"/>
    <dataField name="Média de 5.11.1. Número atual de cabeças no rebanho: Garrote" fld="132" subtotal="average" baseField="0" baseItem="0"/>
    <dataField name="Média de 5.11.1. Número atual de cabeças no rebanho: Touro" fld="133" subtotal="average" baseField="0" baseItem="0"/>
    <dataField name="Média de 5.11.1. Número atual de cabeças no rebanho: Animal de serviço" fld="134" subtotal="average" baseField="0" baseItem="0"/>
  </dataFields>
  <formats count="1">
    <format dxfId="8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6D7C2-1F79-4C66-8DD0-978710490374}" name="Tabela dinâmica57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76:B37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7"/>
  </rowFields>
  <rowItems count="1">
    <i>
      <x/>
    </i>
  </rowItems>
  <colItems count="1">
    <i/>
  </colItems>
  <dataFields count="1">
    <dataField name="Contagem de 6.9. Tipo de ordenha:" fld="157" subtotal="count" showDataAs="percentOfCol" baseField="157" baseItem="0" numFmtId="10"/>
  </dataFields>
  <formats count="2">
    <format dxfId="823">
      <pivotArea outline="0" collapsedLevelsAreSubtotals="1" fieldPosition="0"/>
    </format>
    <format dxfId="8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A1C84-5AEB-4C68-A888-B5F409FACDCE}" name="Tabela dinâmica43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59:B46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2"/>
  </rowFields>
  <rowItems count="3">
    <i>
      <x/>
    </i>
    <i>
      <x v="1"/>
    </i>
    <i>
      <x v="2"/>
    </i>
  </rowItems>
  <colItems count="1">
    <i/>
  </colItems>
  <dataFields count="1">
    <dataField name="Contagem de 9.4. Possui internet na propriedade?" fld="242" subtotal="count" showDataAs="percentOfCol" baseField="242" baseItem="2" numFmtId="10"/>
  </dataFields>
  <formats count="2">
    <format dxfId="821">
      <pivotArea outline="0" collapsedLevelsAreSubtotals="1" fieldPosition="0"/>
    </format>
    <format dxfId="8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AD15F-40E3-4ADF-890C-4BB873C351F5}" name="Tabela dinâmica11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74:B76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1"/>
        <item x="0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2">
    <i>
      <x/>
    </i>
    <i>
      <x v="1"/>
    </i>
  </rowItems>
  <colItems count="1">
    <i/>
  </colItems>
  <dataFields count="1">
    <dataField name="Contagem de 2.3. Sexo" fld="20" subtotal="count" showDataAs="percentOfCol" baseField="20" baseItem="0" numFmtId="10"/>
  </dataFields>
  <formats count="1">
    <format dxfId="8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B77E7-1125-4F6F-AB30-447A0FA901EA}" name="Tabela dinâmica35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67:B369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axis="axisRow" dataField="1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4"/>
  </rowFields>
  <rowItems count="2">
    <i>
      <x/>
    </i>
    <i>
      <x v="1"/>
    </i>
  </rowItems>
  <colItems count="1">
    <i/>
  </colItems>
  <dataFields count="1">
    <dataField name="Contagem de 6.6. Estrutura do local de ordenha:" fld="154" subtotal="count" showDataAs="percentOfCol" baseField="154" baseItem="0" numFmtId="10"/>
  </dataFields>
  <formats count="2">
    <format dxfId="818">
      <pivotArea outline="0" collapsedLevelsAreSubtotals="1" fieldPosition="0"/>
    </format>
    <format dxfId="8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EDD8D-2725-41AE-8AAF-7F9A4CF71E54}" name="Tabela dinâmica69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994:B100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Contagem de Teste da caneca" fld="280" subtotal="count" baseField="0" baseItem="0"/>
    <dataField name="Contagem de Pré-dipping" fld="281" subtotal="count" baseField="0" baseItem="0"/>
    <dataField name="Contagem de Pós-dipping" fld="282" subtotal="count" baseField="0" baseItem="0"/>
    <dataField name="Contagem de Linha de ordenha" fld="283" subtotal="count" baseField="0" baseItem="0"/>
    <dataField name="Contagem de Alimentação durante a ordenha" fld="284" subtotal="count" baseField="0" baseItem="0"/>
    <dataField name="Contagem de Alimentação após a ordenha" fld="285" subtotal="count" baseField="0" baseItem="0"/>
    <dataField name="Contagem de Identificação de animais tratados com antibiótico" fld="286" subtotal="count" baseField="0" baseItem="0"/>
  </dataFields>
  <formats count="1">
    <format dxfId="8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72108-3457-4A2F-B300-5D5AF134F13F}" name="Tabela dinâmica52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681:B690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name="Contagem de Mão de obra qualificada" fld="80" subtotal="count" baseField="0" baseItem="0"/>
    <dataField name="Contagem de Sanidade do rebanho" fld="81" subtotal="count" baseField="0" baseItem="0"/>
    <dataField name="Contagem de Qualidade genética dos animais" fld="82" subtotal="count" baseField="0" baseItem="0"/>
    <dataField name="Contagem de Alimentação do rebanho" fld="83" subtotal="count" baseField="0" baseItem="0"/>
    <dataField name="Contagem de Manejo do rebanho" fld="84" subtotal="count" baseField="0" baseItem="0"/>
    <dataField name="Contagem de Reprodução do rebanho" fld="85" subtotal="count" baseField="0" baseItem="0"/>
    <dataField name="Contagem de Preço do leite" fld="86" subtotal="count" baseField="0" baseItem="0"/>
    <dataField name="Contagem de Conhecimento de técnicas eficientes" fld="87" subtotal="count" baseField="0" baseItem="0"/>
    <dataField name="Contagem de Não sabe3" fld="88" subtotal="count" baseField="0" baseItem="0"/>
  </dataFields>
  <formats count="1">
    <format dxfId="8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061D0-669C-44B9-B44D-91C057CB35F9}" name="Tabela dinâmica16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129:B13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Row" dataField="1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2">
    <i>
      <x/>
    </i>
    <i>
      <x v="1"/>
    </i>
  </rowItems>
  <colItems count="1">
    <i/>
  </colItems>
  <dataFields count="1">
    <dataField name="Contagem de 2.8. Faz parte de alguma associação ou cooperativa relacionada à produção de leite?" fld="34" subtotal="count" showDataAs="percentOfCol" baseField="34" baseItem="0" numFmtId="10"/>
  </dataFields>
  <formats count="1">
    <format dxfId="8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320A3-641A-4CA6-A40E-522327F551DD}" name="Tabela dinâmica37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02:B405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1"/>
  </rowFields>
  <rowItems count="3">
    <i>
      <x/>
    </i>
    <i>
      <x v="1"/>
    </i>
    <i>
      <x v="2"/>
    </i>
  </rowItems>
  <colItems count="1">
    <i/>
  </colItems>
  <dataFields count="1">
    <dataField name="Contagem de 7.1. Quem faz a administração/direção da atividade leiteira?" fld="181" subtotal="count" showDataAs="percentOfCol" baseField="181" baseItem="0" numFmtId="10"/>
  </dataFields>
  <formats count="2">
    <format dxfId="813">
      <pivotArea outline="0" collapsedLevelsAreSubtotals="1" fieldPosition="0"/>
    </format>
    <format dxfId="81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F991D-917B-445D-8287-74D868A1A38B}" name="Tabela dinâmica27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246:B248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0"/>
  </rowFields>
  <rowItems count="2">
    <i>
      <x/>
    </i>
    <i>
      <x v="1"/>
    </i>
  </rowItems>
  <colItems count="1">
    <i/>
  </colItems>
  <dataFields count="1">
    <dataField name="Contagem de 5.7.1. Possui cônjuge ou companheiro(a)?" fld="120" subtotal="count" showDataAs="percentOfCol" baseField="120" baseItem="1" numFmtId="10"/>
  </dataFields>
  <formats count="2">
    <format dxfId="811">
      <pivotArea outline="0" collapsedLevelsAreSubtotals="1" fieldPosition="0"/>
    </format>
    <format dxfId="8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D2ABD-E164-493C-948D-5D74F69098E6}" name="Tabela dinâmica44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69:B47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9.8. Qual o destino de dejetos líquidos e sólidos? (Pode marcar mais de uma opção)" fld="254" subtotal="count" showDataAs="percentOfCol" baseField="254" baseItem="0" numFmtId="10"/>
  </dataFields>
  <formats count="2">
    <format dxfId="809">
      <pivotArea outline="0" collapsedLevelsAreSubtotals="1" fieldPosition="0"/>
    </format>
    <format dxfId="8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94291-3FDB-4597-95BC-4CA272F42CED}" name="Tabela dinâmica47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512:B515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318"/>
  </rowFields>
  <rowItems count="3">
    <i>
      <x/>
    </i>
    <i>
      <x v="1"/>
    </i>
    <i>
      <x v="2"/>
    </i>
  </rowItems>
  <colItems count="1">
    <i/>
  </colItems>
  <dataFields count="1">
    <dataField name="Contagem de 11.8. Qual sua opinião sobre o sistema de pagamento com bonificação? [Por volume de leite]" fld="318" subtotal="count" showDataAs="percentOfCol" baseField="318" baseItem="0" numFmtId="10"/>
  </dataFields>
  <formats count="2">
    <format dxfId="807">
      <pivotArea outline="0" collapsedLevelsAreSubtotals="1" fieldPosition="0"/>
    </format>
    <format dxfId="80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35ED0-7C1A-4AE9-A499-2E28AE2E7B8A}" name="Tabela dinâmica53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4">
  <location ref="A200:B20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1"/>
  </rowFields>
  <rowItems count="2">
    <i>
      <x/>
    </i>
    <i>
      <x v="1"/>
    </i>
  </rowItems>
  <colItems count="1">
    <i/>
  </colItems>
  <dataFields count="1">
    <dataField name="Contagem de 4.1. Utilizou crédito rural nos últimos 12 meses?" fld="91" subtotal="count" showDataAs="percentOfCol" baseField="91" baseItem="1" numFmtId="10"/>
  </dataFields>
  <formats count="2">
    <format dxfId="805">
      <pivotArea outline="0" collapsedLevelsAreSubtotals="1" fieldPosition="0"/>
    </format>
    <format dxfId="80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911B7-0513-4723-B777-AE54DD84D459}" name="Tabela dinâmica33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11:B319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Items count="1">
    <i/>
  </colItems>
  <dataFields count="8">
    <dataField name="Média de 5.11.2.b. Composição % do rebanho - Vacas (lactação + secas): Menos de 1/2 HZ (azebuado) (%)" fld="143" subtotal="average" baseField="2" baseItem="0"/>
    <dataField name="Média de 5.11.2.b. Composição % do rebanho - Vacas (lactação + secas): De 1/2 a 3/4 HZ (%)" fld="144" subtotal="average" baseField="2" baseItem="0"/>
    <dataField name="Média de 5.11.2.b. Composição % do rebanho - Vacas (lactação + secas): De 3/4 a 7/8 HZ (%)" fld="145" subtotal="average" baseField="2" baseItem="0"/>
    <dataField name="Média de 5.11.2.b. Composição % do rebanho - Vacas (lactação + secas): De 7/8 HZ a puro holandês (%)" fld="146" subtotal="average" baseField="2" baseItem="0"/>
    <dataField name="Média de 5.11.2.b. Composição % do rebanho - Vacas (lactação + secas): Puro holandês (%)" fld="147" subtotal="average" baseField="2" baseItem="0"/>
    <dataField name="Média de 5.11.2.b. Composição % do rebanho - Vacas (lactação + secas): Puro outras raças europeias (%)" fld="148" subtotal="average" baseField="2" baseItem="0"/>
    <dataField name="Média de 5.11.2.b. Composição % do rebanho - Vacas (lactação + secas): Puro raças zebuínas (%)" fld="149" subtotal="average" baseField="2" baseItem="0"/>
    <dataField name="Média de 5.11.2.b. Composição % do rebanho - Vacas (lactação + secas): Sem padrão definido (%)" fld="150" subtotal="average" baseField="2" baseItem="0"/>
  </dataFields>
  <formats count="1">
    <format dxfId="8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01768-A069-4BB2-949F-0AD527A6EA36}" name="Tabela dinâmica26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38:B240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Média de 5.5. Área própria total da propriedade (hectares)" fld="118" subtotal="average" baseField="0" baseItem="0"/>
    <dataField name="Média de 5.6. Área destinada ao gado de leite (hectares)" fld="119" subtotal="average" baseField="0" baseItem="0"/>
  </dataFields>
  <formats count="1">
    <format dxfId="80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DBF44-0612-4766-8C60-FA14827D92D3}" name="Tabela dinâmica28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255:B25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0"/>
        <item x="1"/>
        <item t="default"/>
      </items>
    </pivotField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1"/>
  </rowFields>
  <rowItems count="2">
    <i>
      <x/>
    </i>
    <i>
      <x v="1"/>
    </i>
  </rowItems>
  <colItems count="1">
    <i/>
  </colItems>
  <dataFields count="1">
    <dataField name="Contagem de Tem filhos" fld="121" subtotal="count" showDataAs="percentOfCol" baseField="121" baseItem="0" numFmtId="10"/>
  </dataFields>
  <formats count="2">
    <format dxfId="801">
      <pivotArea outline="0" collapsedLevelsAreSubtotals="1" fieldPosition="0"/>
    </format>
    <format dxfId="80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DDA46-2FBA-4AF2-9032-4E74D5539E3F}" name="Tabela dinâmica54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709:B714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Contagem de PRONAF2" fld="93" subtotal="count" baseField="0" baseItem="0"/>
    <dataField name="Contagem de PRONAMPE2" fld="95" subtotal="count" baseField="0" baseItem="0"/>
    <dataField name="Contagem de Cooperativas de crédito ou bancos privados" fld="96" subtotal="count" baseField="0" baseItem="0"/>
    <dataField name="Contagem de Plano Safra" fld="97" subtotal="count" baseField="0" baseItem="0"/>
    <dataField name="Contagem de Não utilizou crédito" fld="99" subtotal="count" baseField="0" baseItem="0"/>
  </dataFields>
  <formats count="1">
    <format dxfId="80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704F4-DC1E-437F-8F4B-F6BDA8F978FC}" name="Tabela dinâmica29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264:B266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0"/>
        <item x="1"/>
        <item t="default"/>
      </items>
    </pivotField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2"/>
  </rowFields>
  <rowItems count="2">
    <i>
      <x/>
    </i>
    <i>
      <x v="1"/>
    </i>
  </rowItems>
  <colItems count="1">
    <i/>
  </colItems>
  <dataFields count="1">
    <dataField name="Contagem de Tem filhos que trabalham na propriedade rural" fld="122" subtotal="count" showDataAs="percentOfCol" baseField="122" baseItem="0" numFmtId="10"/>
  </dataFields>
  <formats count="2">
    <format dxfId="798">
      <pivotArea outline="0" collapsedLevelsAreSubtotals="1" fieldPosition="0"/>
    </format>
    <format dxfId="79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D749D-80B7-480C-9D8B-3331F48B4449}" name="Tabela dinâmica34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25:B32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1"/>
  </rowFields>
  <rowItems count="2">
    <i>
      <x/>
    </i>
    <i>
      <x v="1"/>
    </i>
  </rowItems>
  <colItems count="1">
    <i/>
  </colItems>
  <dataFields count="1">
    <dataField name="Contagem de 6.1. Como é feito o resfriamento do leite na fazenda?" fld="151" subtotal="count" showDataAs="percentOfCol" baseField="151" baseItem="1" numFmtId="10"/>
  </dataFields>
  <formats count="2">
    <format dxfId="796">
      <pivotArea outline="0" collapsedLevelsAreSubtotals="1" fieldPosition="0"/>
    </format>
    <format dxfId="79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C1FEF-59D9-4F8D-8542-3115B32ED121}" name="Tabela dinâmica4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617:B626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name="Contagem de Por gostar" fld="57" subtotal="count" baseField="0" baseItem="0"/>
    <dataField name="Contagem de Por ser uma atividade lucrativa" fld="58" subtotal="count" baseField="0" baseItem="0"/>
    <dataField name="Contagem de Por proporcionar renda mensal" fld="59" subtotal="count" baseField="0" baseItem="0"/>
    <dataField name="Contagem de A atividade leiteira é uma tradição na família" fld="60" subtotal="count" baseField="0" baseItem="0"/>
    <dataField name="Contagem de Combina com outras explorações da propriedade" fld="61" subtotal="count" baseField="0" baseItem="0"/>
    <dataField name="Contagem de Tem mercado garantido" fld="62" subtotal="count" baseField="0" baseItem="0"/>
    <dataField name="Contagem de Não sabe fazer outra coisa" fld="63" subtotal="count" baseField="0" baseItem="0"/>
    <dataField name="Contagem de Emprega a família" fld="64" subtotal="count" baseField="0" baseItem="0"/>
    <dataField name="Contagem de Não sabe" fld="65" subtotal="count" baseField="0" baseItem="0"/>
  </dataFields>
  <formats count="1">
    <format dxfId="79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2CC73-EB13-441B-94FE-B409C2584E4D}" name="Tabela dinâmica24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18:B22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dataField="1" numFmtId="16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Média de 5.3. Produtividade média / vaca em lactação (litros/vaca/dia)" fld="110" subtotal="average" baseField="0" baseItem="0" numFmtId="164"/>
    <dataField name="Média de 5.3.1. Produtividade nas águas (litros/vaca/dia)" fld="111" subtotal="average" baseField="0" baseItem="0"/>
    <dataField name="Média de 5.3.2 Produtividade na seca (litros/vaca/dia)" fld="112" subtotal="average" baseField="0" baseItem="0"/>
  </dataFields>
  <formats count="1">
    <format dxfId="79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3C5C1-DA0D-482E-9243-AD80DC6D6988}" name="Tabela dinâmica12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83:B90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8">
        <item x="3"/>
        <item x="5"/>
        <item x="1"/>
        <item x="2"/>
        <item x="6"/>
        <item x="4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ntagem de 2.4. Escolaridade:" fld="21" subtotal="count" showDataAs="percentOfCol" baseField="21" baseItem="0" numFmtId="10"/>
  </dataFields>
  <formats count="1">
    <format dxfId="7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8FD2C-C659-46AF-AA24-0915350F819A}" name="Tabela dinâmica73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15:B28" firstHeaderRow="1" firstDataRow="1" firstDataCol="1"/>
  <pivotFields count="323">
    <pivotField showAll="0"/>
    <pivotField axis="axisRow" dataField="1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>
      <items count="3">
        <item x="1"/>
        <item x="0"/>
        <item t="default"/>
      </items>
    </pivotField>
    <pivotField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ntagem de Município" fld="1" subtotal="count" showDataAs="percentOfCol" baseField="1" baseItem="0" numFmtId="10"/>
  </dataFields>
  <formats count="2">
    <format dxfId="791">
      <pivotArea outline="0" collapsedLevelsAreSubtotals="1" fieldPosition="0"/>
    </format>
    <format dxfId="79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7BB2E-FE3F-466E-8285-0028D29BADD1}" name="Tabela dinâmica68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963:B97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Contagem de Manqueira" fld="269" subtotal="count" baseField="0" baseItem="0"/>
    <dataField name="Contagem de Brucelose" fld="270" subtotal="count" baseField="0" baseItem="0"/>
    <dataField name="Contagem de Paratifo" fld="271" subtotal="count" baseField="0" baseItem="0"/>
    <dataField name="Contagem de Raiva" fld="272" subtotal="count" baseField="0" baseItem="0"/>
    <dataField name="Contagem de Enterotoxemia" fld="273" subtotal="count" baseField="0" baseItem="0"/>
    <dataField name="Contagem de Botulismo" fld="274" subtotal="count" baseField="0" baseItem="0"/>
    <dataField name="Contagem de Vermifugação" fld="275" subtotal="count" baseField="0" baseItem="0"/>
    <dataField name="Contagem de Carrapaticida" fld="276" subtotal="count" baseField="0" baseItem="0"/>
    <dataField name="Contagem de IBR/BVD" fld="277" subtotal="count" baseField="0" baseItem="0"/>
    <dataField name="Contagem de Leptospirose" fld="278" subtotal="count" baseField="0" baseItem="0"/>
  </dataFields>
  <formats count="1">
    <format dxfId="7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9287C-CBC8-4B75-AC78-BB12F9297AAC}" name="Tabela dinâmica20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169:B17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5"/>
  </rowFields>
  <rowItems count="2">
    <i>
      <x/>
    </i>
    <i>
      <x v="1"/>
    </i>
  </rowItems>
  <colItems count="1">
    <i/>
  </colItems>
  <dataFields count="1">
    <dataField name="Contagem de 3.2. Sua atividade leiteira se mantém sem recursos externos?" fld="55" subtotal="count" showDataAs="percentOfCol" baseField="55" baseItem="0" numFmtId="10"/>
  </dataFields>
  <formats count="2">
    <format dxfId="788">
      <pivotArea outline="0" collapsedLevelsAreSubtotals="1" fieldPosition="0"/>
    </format>
    <format dxfId="78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F1F27-F098-442D-860C-4C28A164023C}" name="Tabela dinâmica9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57:B59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axis="axisRow" dataField="1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Items count="1">
    <i/>
  </colItems>
  <dataFields count="1">
    <dataField name="Contagem de 1.5. Sistema de produção de leite cru?" fld="5" subtotal="count" showDataAs="percentOfCol" baseField="5" baseItem="0" numFmtId="10"/>
  </dataFields>
  <formats count="1">
    <format dxfId="7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87A74-7BB5-4113-802E-272AB1C8ACCC}" name="Tabela dinâmica21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45">
  <location ref="A178:B18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9"/>
  </rowFields>
  <rowItems count="3">
    <i>
      <x/>
    </i>
    <i>
      <x v="1"/>
    </i>
    <i>
      <x v="2"/>
    </i>
  </rowItems>
  <colItems count="1">
    <i/>
  </colItems>
  <dataFields count="1">
    <dataField name="Contagem de 3.7. Para os próximos 5 anos, o que pretende fazer com a produção de leite?" fld="89" subtotal="count" showDataAs="percentOfCol" baseField="89" baseItem="0" numFmtId="10"/>
  </dataFields>
  <formats count="2">
    <format dxfId="785">
      <pivotArea outline="0" collapsedLevelsAreSubtotals="1" fieldPosition="0"/>
    </format>
    <format dxfId="78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0897-C22E-46F6-BAF0-D3E502E3213F}" name="Tabela dinâmica32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97:B305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Items count="1">
    <i/>
  </colItems>
  <dataFields count="8">
    <dataField name="Média de 5.11.2.a. Composição % do rebanho - Reprodutores (touro/sêmen): Menos de 1/2 HZ (azebuado) (%)" fld="135" subtotal="average" baseField="0" baseItem="0"/>
    <dataField name="Média de 5.11.2.a. Composição % do rebanho - Reprodutores (touro/sêmen): De 1/2 a 3/4 HZ (%)" fld="136" subtotal="average" baseField="0" baseItem="0"/>
    <dataField name="Média de 5.11.2.a. Composição % do rebanho - Reprodutores (touro/sêmen): De 3/4 a 7/8 HZ (%)" fld="137" subtotal="average" baseField="0" baseItem="0"/>
    <dataField name="Média de 5.11.2.a. Composição % do rebanho - Reprodutores (touro/sêmen): De 7/8 HZ a puro holandês (%)" fld="138" subtotal="average" baseField="0" baseItem="0"/>
    <dataField name="Média de 5.11.2.a. Composição % do rebanho - Reprodutores (touro/sêmen): Puro holandês (%)" fld="139" subtotal="average" baseField="0" baseItem="0"/>
    <dataField name="Média de 5.11.2.a. Composição % do rebanho - Reprodutores (touro/sêmen): Puro outras raças europeias (%)" fld="140" subtotal="average" baseField="0" baseItem="0"/>
    <dataField name="Média de 5.11.2.a. Composição % do rebanho - Reprodutores (touro/sêmen): Puro raças zebuínas (%)" fld="141" subtotal="average" baseField="0" baseItem="0"/>
    <dataField name="Média de 5.11.2.a. Composição % do rebanho - Reprodutores (touro/sêmen): Sem padrão definido (%)" fld="142" subtotal="average" baseField="0" baseItem="0"/>
  </dataFields>
  <formats count="1">
    <format dxfId="78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1316B-3225-49E1-9561-FA405BE4184D}" name="Tabela dinâmica67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932:B94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Contagem de Picadeira" fld="244" subtotal="count" baseField="0" baseItem="0"/>
    <dataField name="Contagem de Balança para os animais" fld="245" subtotal="count" baseField="0" baseItem="0"/>
    <dataField name="Contagem de Trator" fld="246" subtotal="count" baseField="0" baseItem="0"/>
    <dataField name="Contagem de Vagão forrageiro" fld="247" subtotal="count" baseField="0" baseItem="0"/>
    <dataField name="Contagem de Plantadeira" fld="248" subtotal="count" baseField="0" baseItem="0"/>
    <dataField name="Contagem de Grade" fld="249" subtotal="count" baseField="0" baseItem="0"/>
    <dataField name="Contagem de Arado" fld="250" subtotal="count" baseField="0" baseItem="0"/>
    <dataField name="Contagem de Ensiladeira" fld="251" subtotal="count" baseField="0" baseItem="0"/>
    <dataField name="Contagem de Distribuidor de calcário" fld="252" subtotal="count" baseField="0" baseItem="0"/>
    <dataField name="Contagem de Misturador de ração" fld="253" subtotal="count" baseField="0" baseItem="0"/>
  </dataFields>
  <formats count="1">
    <format dxfId="7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70907-9C26-4C1F-A537-4A534C0E5EAF}" name="Tabela dinâmica1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34:B336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axis="axisRow" dataField="1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2"/>
  </rowFields>
  <rowItems count="2">
    <i>
      <x/>
    </i>
    <i>
      <x v="1"/>
    </i>
  </rowItems>
  <colItems count="1">
    <i/>
  </colItems>
  <dataFields count="1">
    <dataField name="Contagem de 6.4. Tem fonte de água no curral?" fld="152" subtotal="count" showDataAs="percentOfCol" baseField="152" baseItem="0" numFmtId="10"/>
  </dataFields>
  <formats count="2">
    <format dxfId="781">
      <pivotArea outline="0" collapsedLevelsAreSubtotals="1" fieldPosition="0"/>
    </format>
    <format dxfId="78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F8F30-E946-433E-9F38-9371EE83DD19}" name="Tabela dinâmica42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49:B450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1"/>
  </rowFields>
  <rowItems count="1">
    <i>
      <x/>
    </i>
  </rowItems>
  <colItems count="1">
    <i/>
  </colItems>
  <dataFields count="1">
    <dataField name="Contagem de 9.3. Possui energia elétrica na propriedade?" fld="241" subtotal="count" baseField="0" baseItem="0"/>
  </dataFields>
  <formats count="1">
    <format dxfId="7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FB7A4-5156-4944-983E-562A41291798}" name="Tabela dinâmica41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38:B44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Média de 9.1. Distribuição % aproximada das vacas em lactação em cada tipo de sistema: Freestall (%)" fld="225" subtotal="average" baseField="2" baseItem="0"/>
    <dataField name="Média de 9.1. Distribuição % aproximada das vacas em lactação em cada tipo de sistema: Compost Barn (%)" fld="226" subtotal="average" baseField="2" baseItem="0"/>
    <dataField name="Média de 9.1. Distribuição % aproximada das vacas em lactação em cada tipo de sistema: Semiconfinado (%)" fld="227" subtotal="average" baseField="2" baseItem="0"/>
    <dataField name="Média de 9.1. Distribuição % aproximada das vacas em lactação em cada tipo de sistema: Piquete rotacionado (%)" fld="228" subtotal="average" baseField="2" baseItem="0"/>
    <dataField name="Média de 9.1. Distribuição % aproximada das vacas em lactação em cada tipo de sistema: Pasto extensivo (%)" fld="229" subtotal="average" baseField="2" baseItem="0"/>
  </dataFields>
  <formats count="1">
    <format dxfId="7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55606-40EB-408A-A89B-A7555A86D6EF}" name="Tabela dinâmica10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66:B68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Média de 2.1. Idade (anos)" fld="18" subtotal="average" baseField="0" baseItem="1"/>
    <dataField name="Média de 2.2. Tempo que é produtor(a) de leite (anos)" fld="19" subtotal="average" baseField="0" baseItem="1"/>
  </dataFields>
  <formats count="1">
    <format dxfId="7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838A3-CD1C-47F3-8A3D-A22A6D73B3B4}" name="Tabela dinâmica66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901:B91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Contagem de Galpão coberto" fld="231" subtotal="count" baseField="0" baseItem="0"/>
    <dataField name="Contagem de Sombrite ou tela de sombreamento" fld="232" subtotal="count" baseField="0" baseItem="0"/>
    <dataField name="Contagem de Cobertura vegetal (árvores, sombra natural)" fld="233" subtotal="count" baseField="0" baseItem="0"/>
    <dataField name="Contagem de Exaustores" fld="234" subtotal="count" baseField="0" baseItem="0"/>
    <dataField name="Contagem de Ventiladores mecânicos" fld="235" subtotal="count" baseField="0" baseItem="0"/>
    <dataField name="Contagem de Aspersores ou nebulizadores " fld="236" subtotal="count" baseField="0" baseItem="0"/>
    <dataField name="Contagem de Sistema de resfriamento evaporativo" fld="237" subtotal="count" baseField="0" baseItem="0"/>
    <dataField name="Contagem de Bebedouros" fld="238" subtotal="count" baseField="0" baseItem="0"/>
    <dataField name="Contagem de Controle automatizado de temperatura/umidade" fld="239" subtotal="count" baseField="0" baseItem="0"/>
    <dataField name="Contagem de Piso emborrachado ou drenante nas áreas de espera" fld="240" subtotal="count" baseField="0" baseItem="0"/>
  </dataFields>
  <formats count="1">
    <format dxfId="7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B5B1D-8394-4EC3-B9A6-D55079946D0D}" name="Tabela dinâmica8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7:B50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axis="axisRow" dataField="1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1.2. Topografia/relevo predominante da propriedade rural:" fld="4" subtotal="count" showDataAs="percentOfCol" baseField="4" baseItem="0" numFmtId="10"/>
  </dataFields>
  <formats count="1">
    <format dxfId="7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5D824D-9645-4E20-8736-C0486C11E890}" name="Tabela dinâmica56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59:B36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6"/>
  </rowFields>
  <rowItems count="2">
    <i>
      <x/>
    </i>
    <i t="grand">
      <x/>
    </i>
  </rowItems>
  <colItems count="1">
    <i/>
  </colItems>
  <dataFields count="1">
    <dataField name="Contagem de 6.8. A Sala de ordenha é coberta?" fld="156" subtotal="count" showDataAs="percentOfCol" baseField="156" baseItem="0" numFmtId="10"/>
  </dataFields>
  <formats count="2">
    <format dxfId="774">
      <pivotArea outline="0" collapsedLevelsAreSubtotals="1" fieldPosition="0"/>
    </format>
    <format dxfId="77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305D7-0F83-40D1-B52F-471F783538D0}" name="Tabela dinâmica7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5:B40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axis="axisRow" dataField="1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ntagem de ESTRATO DE PRODUÇÃO (L/DIA)" fld="3" subtotal="count" showDataAs="percentOfCol" baseField="3" baseItem="0" numFmtId="10"/>
  </dataFields>
  <formats count="1">
    <format dxfId="7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BA243-A257-452C-B1C7-313BFF107B83}" name="Tabela dinâmica64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820:B830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Contagem de Planejamento da empresa rural" fld="202" subtotal="count" baseField="0" baseItem="0"/>
    <dataField name="Contagem de Cálculo do custo de produção" fld="203" subtotal="count" baseField="0" baseItem="0"/>
    <dataField name="Contagem de Mercado do leite" fld="204" subtotal="count" baseField="0" baseItem="0"/>
    <dataField name="Contagem de Alimentação do rebanho2" fld="205" subtotal="count" baseField="0" baseItem="0"/>
    <dataField name="Contagem de Sanidade do rebanho2" fld="206" subtotal="count" baseField="0" baseItem="0"/>
    <dataField name="Contagem de Manejo do rebanho2" fld="207" subtotal="count" baseField="0" baseItem="0"/>
    <dataField name="Contagem de Melhoramento genético" fld="208" subtotal="count" baseField="0" baseItem="0"/>
    <dataField name="Contagem de Gerenciamento da produção" fld="209" subtotal="count" baseField="0" baseItem="0"/>
    <dataField name="Contagem de Produção de leite e meio ambiente" fld="210" subtotal="count" baseField="0" baseItem="0"/>
    <dataField name="Contagem de Qualidade do leite" fld="211" subtotal="count" baseField="0" baseItem="0"/>
  </dataFields>
  <formats count="1">
    <format dxfId="7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D4056-C743-4CE4-95C2-471337EC2DA3}" name="Tabela dinâmica40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30:B43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Média de 7.6. Se sim, qual o valor médio anual do seu custo de produção? (R$/litro)" fld="192" subtotal="average" baseField="2" baseItem="0"/>
    <dataField name="Média de 11.3. Preço recebido no último mês? (R$/litro)" fld="307" subtotal="average" baseField="2" baseItem="0"/>
  </dataFields>
  <formats count="1">
    <format dxfId="7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C55B4-2761-4FBD-A682-C20E22E415DC}" name="Tabela dinâmica17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38:B14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Média de 2.9. Composição da renda bruta do produtor rural: Pecuária de leite (%)" fld="35" subtotal="average" baseField="0" baseItem="0"/>
    <dataField name="Média de 2.9. Composição da renda bruta do produtor rural: Outras criações (%)" fld="36" subtotal="average" baseField="0" baseItem="0"/>
    <dataField name="Média de 2.9. Composição da renda bruta do produtor rural: Culturas permanentes (%)" fld="37" subtotal="average" baseField="0" baseItem="0"/>
    <dataField name="Média de 2.9. Composição da renda bruta do produtor rural: Culturas anuais (%)" fld="38" subtotal="average" baseField="0" baseItem="0"/>
    <dataField name="Média de 2.9. Composição da renda bruta do produtor rural: Fora da propriedade (%)" fld="39" subtotal="average" baseField="0" baseItem="0"/>
  </dataFields>
  <formats count="1">
    <format dxfId="7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D31F9-5F0E-492E-B3D9-BC48CB7A6861}" name="Tabela dinâmica72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038:B104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name="Contagem de Cana-de-açúcar" fld="297" subtotal="count" baseField="0" baseItem="0"/>
    <dataField name="Contagem de Capineira" fld="298" subtotal="count" baseField="0" baseItem="0"/>
    <dataField name="Contagem de Silagem de capim" fld="299" subtotal="count" baseField="0" baseItem="0"/>
    <dataField name="Contagem de Silagem de milho" fld="300" subtotal="count" baseField="0" baseItem="0"/>
    <dataField name="Contagem de Silagem de sorgo" fld="301" subtotal="count" baseField="0" baseItem="0"/>
    <dataField name="Contagem de Outra silagem" fld="302" subtotal="count" baseField="0" baseItem="0"/>
    <dataField name="Contagem de Feno " fld="303" subtotal="count" baseField="0" baseItem="0"/>
    <dataField name="Contagem de Palma" fld="304" subtotal="count" baseField="0" baseItem="0"/>
    <dataField name="Contagem de Não fornece suplementação" fld="305" subtotal="count" baseField="0" baseItem="0"/>
  </dataFields>
  <formats count="1">
    <format dxfId="76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521-CAD3-4AD1-B0CC-3DB9A9AD9DB4}" name="Tabela dinâmica48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522:B52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2">
        <item x="0"/>
        <item t="default"/>
      </items>
    </pivotField>
    <pivotField showAll="0"/>
    <pivotField showAll="0"/>
    <pivotField showAll="0"/>
  </pivotFields>
  <rowFields count="1">
    <field x="319"/>
  </rowFields>
  <rowItems count="1">
    <i>
      <x/>
    </i>
  </rowItems>
  <colItems count="1">
    <i/>
  </colItems>
  <dataFields count="1">
    <dataField name="Contagem de 11.8. Qual sua opinião sobre o sistema de pagamento com bonificação? [Por qualidade do leite]" fld="319" subtotal="count" showDataAs="percentOfCol" baseField="319" baseItem="0" numFmtId="10"/>
  </dataFields>
  <formats count="2">
    <format dxfId="767">
      <pivotArea outline="0" collapsedLevelsAreSubtotals="1" fieldPosition="0"/>
    </format>
    <format dxfId="76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65941-6DB2-4277-8262-F37957998A28}" name="Tabela dinâmica62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772:B779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Contagem de Produção de leite" fld="183" subtotal="count" baseField="0" baseItem="0"/>
    <dataField name="Contagem de Produtividade" fld="184" subtotal="count" baseField="0" baseItem="0"/>
    <dataField name="Contagem de Receitas" fld="185" subtotal="count" baseField="0" baseItem="0"/>
    <dataField name="Contagem de Despesas" fld="186" subtotal="count" baseField="0" baseItem="0"/>
    <dataField name="Contagem de Venda de genética" fld="187" subtotal="count" baseField="0" baseItem="0"/>
    <dataField name="Contagem de Venda de animais" fld="188" subtotal="count" baseField="0" baseItem="0"/>
    <dataField name="Contagem de Não estabelece metas" fld="189" subtotal="count" baseField="0" baseItem="0"/>
  </dataFields>
  <formats count="1">
    <format dxfId="7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8D5B0-A739-4DE3-B67D-214FBCE44F83}" name="Tabela dinâmica55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51:B35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5"/>
  </rowFields>
  <rowItems count="1">
    <i>
      <x/>
    </i>
  </rowItems>
  <colItems count="1">
    <i/>
  </colItems>
  <dataFields count="1">
    <dataField name="Contagem de 6.7. Tem fonte de água no local de ordenha?" fld="155" subtotal="count" showDataAs="percentOfCol" baseField="155" baseItem="0" numFmtId="10"/>
  </dataFields>
  <formats count="2">
    <format dxfId="764">
      <pivotArea outline="0" collapsedLevelsAreSubtotals="1" fieldPosition="0"/>
    </format>
    <format dxfId="76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EF281-6E4A-4F1D-AA41-F0F05F958FD7}" name="Tabela dinâmica5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646:B658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Items count="1">
    <i/>
  </colItems>
  <dataFields count="12">
    <dataField name="Contagem de Falta de mão de obra" fld="67" subtotal="count" baseField="0" baseItem="0"/>
    <dataField name="Contagem de Deficiência na qualificação da mão de obra" fld="68" subtotal="count" baseField="0" baseItem="0"/>
    <dataField name="Contagem de Falta de crédito rural, com taxas de juros compatíveis com a atividade" fld="69" subtotal="count" baseField="0" baseItem="0"/>
    <dataField name="Contagem de Deficiência de informações técnicas sobre a produção de leite" fld="70" subtotal="count" baseField="0" baseItem="0"/>
    <dataField name="Contagem de Deficiência de informações de mercado" fld="71" subtotal="count" baseField="0" baseItem="0"/>
    <dataField name="Contagem de Custo dos insumos" fld="72" subtotal="count" baseField="0" baseItem="0"/>
    <dataField name="Contagem de Deficiência na infraestrutura de transporte/estradas" fld="73" subtotal="count" baseField="0" baseItem="0"/>
    <dataField name="Contagem de Instabilidade de políticas públicas" fld="74" subtotal="count" baseField="0" baseItem="0"/>
    <dataField name="Contagem de Legislação ambiental" fld="75" subtotal="count" baseField="0" baseItem="0"/>
    <dataField name="Contagem de Legislação trabalhista" fld="76" subtotal="count" baseField="0" baseItem="0"/>
    <dataField name="Contagem de Baixa capacidade de endividamento" fld="77" subtotal="count" baseField="0" baseItem="0"/>
    <dataField name="Contagem de Não sabe2" fld="78" subtotal="count" baseField="0" baseItem="0"/>
  </dataFields>
  <formats count="1">
    <format dxfId="7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30A84-6627-4DF5-ACC7-4546575C590A}" name="Tabela dinâmica14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06:B11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Média de 2.6. Distribuição da área utilizada na produção leiteira: Própria (%)" fld="23" subtotal="average" baseField="0" baseItem="0" numFmtId="2"/>
    <dataField name="Média de 2.6. Distribuição da área utilizada na produção leiteira: Arrendada (%)" fld="24" subtotal="average" baseField="0" baseItem="0" numFmtId="2"/>
    <dataField name="Média de 2.6. Distribuição da área utilizada na produção leiteira: Parceria (%)" fld="25" subtotal="average" baseField="0" baseItem="0" numFmtId="2"/>
    <dataField name="Média de 2.6. Distribuição da área utilizada na produção leiteira: Comodato (%)" fld="26" subtotal="average" baseField="0" baseItem="0" numFmtId="2"/>
    <dataField name="Média de 2.6. Distribuição da área utilizada na produção leiteira: Assentamento (%)" fld="27" subtotal="average" baseField="0" baseItem="0" numFmtId="2"/>
    <dataField name="Média de 2.6. Distribuição da área utilizada na produção leiteira: Como posseiro (%)" fld="28" subtotal="average" baseField="0" baseItem="0" numFmtId="2"/>
  </dataFields>
  <formats count="1">
    <format dxfId="7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39C31-F1C5-47DB-9E70-C1258D1FE9C3}" name="Tabela dinâmica2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43:B344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axis="axisRow" dataField="1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3"/>
  </rowFields>
  <rowItems count="1">
    <i>
      <x/>
    </i>
  </rowItems>
  <colItems count="1">
    <i/>
  </colItems>
  <dataFields count="1">
    <dataField name="Contagem de 6.5. Tem cobertura no curral?" fld="153" subtotal="count" showDataAs="percentOfCol" baseField="152" baseItem="0" numFmtId="10"/>
  </dataFields>
  <formats count="2">
    <format dxfId="760">
      <pivotArea outline="0" collapsedLevelsAreSubtotals="1" fieldPosition="0"/>
    </format>
    <format dxfId="76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BC09D-CE35-4285-A1DC-B6A99AF4A1EC}" name="Tabela dinâmica13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97:B99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0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2">
    <i>
      <x/>
    </i>
    <i>
      <x v="1"/>
    </i>
  </rowItems>
  <colItems count="1">
    <i/>
  </colItems>
  <dataFields count="1">
    <dataField name="Contagem de 2.5. Residência principal (mais de 50% do tempo):" fld="22" subtotal="count" showDataAs="percentOfCol" baseField="22" baseItem="0" numFmtId="10"/>
  </dataFields>
  <formats count="1">
    <format dxfId="7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251E1-956C-497D-83D9-1CC8C41B2802}" name="Tabela dinâmica60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753:B75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Contagem de Correção e adubação do solo na implantação" fld="173" subtotal="count" baseField="0" baseItem="0"/>
    <dataField name="Contagem de Rotação de pastagens" fld="176" subtotal="count" baseField="0" baseItem="0"/>
    <dataField name="Contagem de Divisão em piquetes" fld="177" subtotal="count" baseField="0" baseItem="0"/>
    <dataField name="Contagem de Cerca elétrica nos piquetes" fld="178" subtotal="count" baseField="0" baseItem="0"/>
  </dataFields>
  <formats count="1">
    <format dxfId="7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E4AC1-33A2-4001-B20E-2211F468F682}" name="Tabela dinâmica19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158:B16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3.1. Atualmente, seu retorno financeiro na produção de leite pode ser considerado:" fld="54" subtotal="count" showDataAs="percentOfCol" baseField="54" baseItem="1" numFmtId="10"/>
  </dataFields>
  <formats count="2">
    <format dxfId="756">
      <pivotArea outline="0" collapsedLevelsAreSubtotals="1" fieldPosition="0"/>
    </format>
    <format dxfId="75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4B0BF-BC7B-4071-B900-0FE413FAF964}" name="Tabela dinâmica70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019:B102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Contagem de FIV/TE" fld="288" subtotal="count" baseField="0" baseItem="0"/>
    <dataField name="Contagem de Inseminação artificial/IATF" fld="289" subtotal="count" baseField="0" baseItem="0"/>
    <dataField name="Contagem de Natural controlada" fld="290" subtotal="count" baseField="0" baseItem="0"/>
    <dataField name="Contagem de Natural não controlada" fld="291" subtotal="count" baseField="0" baseItem="0"/>
  </dataFields>
  <formats count="1">
    <format dxfId="7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4D8C7-FE5F-4768-898B-6E56AF58EF4E}" name="Tabela dinâmica22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4">
  <location ref="A188:B19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ntagem de 3.8. Opinião do produtor sobre a sucessão em sua propriedade:" fld="90" subtotal="count" showDataAs="percentOfCol" baseField="90" baseItem="0" numFmtId="10"/>
  </dataFields>
  <formats count="2">
    <format dxfId="753">
      <pivotArea outline="0" collapsedLevelsAreSubtotals="1" fieldPosition="0"/>
    </format>
    <format dxfId="75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AE88A-AB6B-4D45-9D81-62021C73638D}" name="Tabela dinâmica50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539:B54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axis="axisRow" dataField="1">
      <items count="3">
        <item x="0"/>
        <item x="1"/>
        <item t="default"/>
      </items>
    </pivotField>
    <pivotField showAll="0"/>
  </pivotFields>
  <rowFields count="1">
    <field x="321"/>
  </rowFields>
  <rowItems count="2">
    <i>
      <x/>
    </i>
    <i>
      <x v="1"/>
    </i>
  </rowItems>
  <colItems count="1">
    <i/>
  </colItems>
  <dataFields count="1">
    <dataField name="Contagem de 11.9. Tem contrato formal com o laticínio que compra seu leite?" fld="321" subtotal="count" showDataAs="percentOfCol" baseField="321" baseItem="0" numFmtId="10"/>
  </dataFields>
  <formats count="2">
    <format dxfId="751">
      <pivotArea outline="0" collapsedLevelsAreSubtotals="1" fieldPosition="0"/>
    </format>
    <format dxfId="75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3C619-39DA-49DC-9B10-11B8827647E0}" name="Tabela dinâmica45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80:B48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Média de 10.1. Idade média que desfaz dos machos (meses)" fld="261" subtotal="average" baseField="2" baseItem="0"/>
    <dataField name="Média de 10.2. Idade média de desmama dos bezerros(as) (meses)" fld="262" subtotal="average" baseField="2" baseItem="0"/>
    <dataField name="Média de 10.3. Peso médio ao desmame dos bezerros(as) (Kg)" fld="263" subtotal="average" baseField="2" baseItem="0"/>
    <dataField name="Média de 10.4. Idade média das novilhas ao primeiro parto (meses)" fld="264" subtotal="average" baseField="2" baseItem="0"/>
    <dataField name="Média de 10.5. Intervalo entre partos médio (meses)" fld="265" subtotal="average" baseField="2" baseItem="0"/>
    <dataField name="Média de 10.6. Taxa de mortalidade média de bezerros (%)" fld="266" subtotal="average" baseField="2" baseItem="0"/>
    <dataField name="Média de 10.7. Taxa de mortalidade média de animais adultos (%)" fld="267" subtotal="average" baseField="2" baseItem="0"/>
  </dataFields>
  <formats count="1">
    <format dxfId="7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1779A-3929-41C6-A84D-449BB9A84B18}" name="Tabela dinâmica59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732:B73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Contagem de Brachiaria" fld="163" subtotal="count" baseField="0" baseItem="0"/>
    <dataField name="Contagem de Panicum" fld="164" subtotal="count" baseField="0" baseItem="0"/>
    <dataField name="Contagem de Capim-elefante" fld="165" subtotal="count" baseField="0" baseItem="0"/>
    <dataField name="Contagem de Cynodon" fld="169" subtotal="count" baseField="0" baseItem="0"/>
    <dataField name="Contagem de Tifton" fld="170" subtotal="count" baseField="0" baseItem="0"/>
  </dataFields>
  <formats count="1">
    <format dxfId="7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BEC09-4DF2-434C-8935-DDA97E85EFE0}" name="Tabela dinâmica38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12:B414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0"/>
  </rowFields>
  <rowItems count="2">
    <i>
      <x/>
    </i>
    <i>
      <x v="1"/>
    </i>
  </rowItems>
  <colItems count="1">
    <i/>
  </colItems>
  <dataFields count="1">
    <dataField name="Contagem de 7.4. Realização de controle financeiro da produção:" fld="190" subtotal="count" showDataAs="percentOfCol" baseField="190" baseItem="0" numFmtId="10"/>
  </dataFields>
  <formats count="2">
    <format dxfId="747">
      <pivotArea outline="0" collapsedLevelsAreSubtotals="1" fieldPosition="0"/>
    </format>
    <format dxfId="74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6B4E3-B4C3-4E11-950B-61A3FDD5F314}" name="Tabela dinâmica46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501:B505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10.13. Critério para primeira cobertura:" fld="293" subtotal="count" showDataAs="percentOfCol" baseField="293" baseItem="0" numFmtId="10"/>
  </dataFields>
  <formats count="2">
    <format dxfId="745">
      <pivotArea outline="0" collapsedLevelsAreSubtotals="1" fieldPosition="0"/>
    </format>
    <format dxfId="74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59AB9-111C-4160-936C-EC037E840DC0}" name="Tabela dinâmica23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09:B21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Média de 5.2. Produção de leite média dos últimos 12 meses (consumido + vendido) (litros/dia)" fld="107" subtotal="average" baseField="0" baseItem="0" numFmtId="1"/>
    <dataField name="Média de 5.2.1. Produção nas águas (litros/dia)" fld="108" subtotal="average" baseField="0" baseItem="0" numFmtId="1"/>
    <dataField name="Média de 5.2.2. Produção na seca (litros/dia)" fld="109" subtotal="average" baseField="0" baseItem="0" numFmtId="1"/>
  </dataFields>
  <formats count="1">
    <format dxfId="7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BF935-058F-4DF1-86D3-55DE4EB6E815}" name="Tabela dinâmica65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851:B861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Contagem de Planejamento da empresa rural2" fld="214" subtotal="count" baseField="0" baseItem="0"/>
    <dataField name="Contagem de Cálculo do custo de produção2" fld="215" subtotal="count" baseField="0" baseItem="0"/>
    <dataField name="Contagem de Mercado do leite2" fld="216" subtotal="count" baseField="0" baseItem="0"/>
    <dataField name="Contagem de Alimentação do rebanho3" fld="217" subtotal="count" baseField="0" baseItem="0"/>
    <dataField name="Contagem de Sanidade do rebanho3" fld="218" subtotal="count" baseField="0" baseItem="0"/>
    <dataField name="Contagem de Manejo do rebanho3" fld="219" subtotal="count" baseField="0" baseItem="0"/>
    <dataField name="Contagem de Melhoramento genético2" fld="220" subtotal="count" baseField="0" baseItem="0"/>
    <dataField name="Contagem de Gerenciamento da produção2" fld="221" subtotal="count" baseField="0" baseItem="0"/>
    <dataField name="Contagem de Produção de leite e meio ambiente2" fld="222" subtotal="count" baseField="0" baseItem="0"/>
    <dataField name="Contagem de Qualidade do leite2" fld="223" subtotal="count" baseField="0" baseItem="0"/>
  </dataFields>
  <formats count="1">
    <format dxfId="7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D8F3E-4E4C-4C87-8A2D-1AA54EAAB6A5}" name="Tabela dinâmica18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149:B15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Média de 2.10. Composição da renda bruta da atividade leiteira: Venda e consumo de leite (%)" fld="40" subtotal="average" baseField="0" baseItem="0"/>
    <dataField name="Média de 2.10. Composição da renda bruta da atividade leiteira: Venda e consumo de animais (%)" fld="41" subtotal="average" baseField="0" baseItem="0"/>
    <dataField name="Média de 2.10. Composição da renda bruta da atividade leiteira: Outro (%)" fld="42" subtotal="average" baseField="0" baseItem="0"/>
  </dataFields>
  <formats count="1">
    <format dxfId="7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53150-2E7E-488F-9A11-E787F2F2C1A8}" name="Tabela dinâmica6" cacheId="82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7:C9" firstHeaderRow="0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axis="axisRow" dataField="1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ntagem de TIPOLOGIA DA PRODUÇÃO DE LEITE2" fld="2" subtotal="count" baseField="2" baseItem="0" numFmtId="1"/>
    <dataField name="Contagem de TIPOLOGIA DA PRODUÇÃO DE LEITE" fld="2" subtotal="count" showDataAs="percentOfTotal" baseField="2" baseItem="0" numFmtId="10"/>
  </dataFields>
  <formats count="3">
    <format dxfId="739">
      <pivotArea outline="0" collapsedLevelsAreSubtotals="1" fieldPosition="0"/>
    </format>
    <format dxfId="74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5AC25-AA86-4ACF-830B-0E726CA8EF7B}" name="Tabela dinâmica49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530:B53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axis="axisRow" dataField="1">
      <items count="3">
        <item x="0"/>
        <item x="1"/>
        <item t="default"/>
      </items>
    </pivotField>
    <pivotField showAll="0"/>
    <pivotField showAll="0"/>
  </pivotFields>
  <rowFields count="1">
    <field x="320"/>
  </rowFields>
  <rowItems count="2">
    <i>
      <x/>
    </i>
    <i>
      <x v="1"/>
    </i>
  </rowItems>
  <colItems count="1">
    <i/>
  </colItems>
  <dataFields count="1">
    <dataField name="Contagem de 11.8. Qual sua opinião sobre o sistema de pagamento com bonificação? [Por critérios de sustentabilidade]" fld="320" subtotal="count" showDataAs="percentOfCol" baseField="320" baseItem="1" numFmtId="10"/>
  </dataFields>
  <formats count="2">
    <format dxfId="737">
      <pivotArea outline="0" collapsedLevelsAreSubtotals="1" fieldPosition="0"/>
    </format>
    <format dxfId="73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05C07-73E2-4950-9D0F-CA135E84C72C}" name="Tabela dinâmica25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27:B232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Média de 5.4. Distribuição da produção de leite nos últimos 12 meses: Vendida para laticínio/cooperativa (leite fluído) (%)" fld="113" subtotal="average" baseField="0" baseItem="0"/>
    <dataField name="Média de 5.4. Distribuição da produção de leite nos últimos 12 meses: Vendida diretamente para consumidor (leite fluído) (%)" fld="114" subtotal="average" baseField="0" baseItem="0"/>
    <dataField name="Média de 5.4. Distribuição da produção de leite nos últimos 12 meses: Vendida na forma de derivados (queijos, requeijão, etc.) (%)" fld="115" subtotal="average" baseField="0" baseItem="0"/>
    <dataField name="Média de 5.4. Distribuição da produção de leite nos últimos 12 meses: Autoconsumo humano (%)" fld="116" subtotal="average" baseField="0" baseItem="0"/>
    <dataField name="Média de 5.4. Distribuição da produção de leite nos últimos 12 meses: Aleitamento (%)" fld="117" subtotal="average" baseField="0" baseItem="0"/>
  </dataFields>
  <formats count="1">
    <format dxfId="7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FF8CF-04AC-4280-829C-AB6F89903389}" name="Tabela dinâmica61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559:B567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rowItems>
  <colItems count="1">
    <i/>
  </colItems>
  <dataFields count="8">
    <dataField name="Contagem de CAR - Cadastro Ambiental Rural" fld="10" subtotal="count" baseField="0" baseItem="0"/>
    <dataField name="Contagem de Cursos d’água/riacho/nascentes/mina" fld="11" subtotal="count" baseField="0" baseItem="0"/>
    <dataField name="Contagem de Vegetação nativa/mata/floresta" fld="12" subtotal="count" baseField="0" baseItem="0"/>
    <dataField name="Contagem de Área de preservação permanentes" fld="13" subtotal="count" baseField="0" baseItem="0"/>
    <dataField name="Contagem de Área de reserva legal" fld="14" subtotal="count" baseField="0" baseItem="0"/>
    <dataField name="Contagem de Serviço de água potável" fld="15" subtotal="count" baseField="0" baseItem="0"/>
    <dataField name="Contagem de Serviço de esgoto doméstico tratado" fld="16" subtotal="count" baseField="0" baseItem="0"/>
    <dataField name="Contagem de Serviço de telefonia" fld="17" subtotal="count" baseField="0" baseItem="0"/>
  </dataFields>
  <formats count="1">
    <format dxfId="7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1A90F-E770-4C37-8990-A9A434A3D3D9}" name="Tabela dinâmica58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84:B386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Média de 6.10. Número de ordenhas nas águas" fld="158" subtotal="average" baseField="2" baseItem="0"/>
    <dataField name="Média de 6.10. Número de ordenhas na seca" fld="159" subtotal="average" baseField="2" baseItem="0"/>
  </dataFields>
  <formats count="1">
    <format dxfId="7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755BF-DB59-41FB-B7B7-53288788D29F}" name="Tabela dinâmica71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492:B494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>
      <items count="3">
        <item x="0"/>
        <item x="1"/>
        <item t="default"/>
      </items>
    </pivotField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2"/>
  </rowFields>
  <rowItems count="2">
    <i>
      <x/>
    </i>
    <i>
      <x v="1"/>
    </i>
  </rowItems>
  <colItems count="1">
    <i/>
  </colItems>
  <dataFields count="1">
    <dataField name="Contagem de 10.12. Tipo de aleitamento:" fld="292" subtotal="count" showDataAs="percentOfCol" baseField="292" baseItem="0" numFmtId="10"/>
  </dataFields>
  <formats count="2">
    <format dxfId="732">
      <pivotArea outline="0" collapsedLevelsAreSubtotals="1" fieldPosition="0"/>
    </format>
    <format dxfId="73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DBEB9-F320-4A24-9983-2B7CF534966F}" name="Tabela dinâmica36" cacheId="82" dataOnRows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392:B395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 axis="axisRow" dataField="1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1"/>
  </rowFields>
  <rowItems count="3">
    <i>
      <x/>
    </i>
    <i>
      <x v="1"/>
    </i>
    <i>
      <x v="2"/>
    </i>
  </rowItems>
  <colItems count="1">
    <i/>
  </colItems>
  <dataFields count="1">
    <dataField name="Contagem de 6.15. Tipo de pastagem na propriedade rural:" fld="161" subtotal="count" showDataAs="percentOfCol" baseField="161" baseItem="0" numFmtId="10"/>
  </dataFields>
  <formats count="2">
    <format dxfId="730">
      <pivotArea outline="0" collapsedLevelsAreSubtotals="1" fieldPosition="0"/>
    </format>
    <format dxfId="73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14FB5-2EB0-4FB5-BA47-8C3FB9BFDF60}" name="Tabela dinâmica63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797:B803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/>
    <pivotField/>
    <pivotField/>
    <pivotField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Contagem de Assistência técnica" fld="194" subtotal="count" baseField="0" baseItem="0"/>
    <dataField name="Contagem de Vizinho, amigo ou parente" fld="195" subtotal="count" baseField="0" baseItem="0"/>
    <dataField name="Contagem de Treinamento (curso, palestra, etc.)" fld="196" subtotal="count" baseField="0" baseItem="0"/>
    <dataField name="Contagem de Jornais e revistas agropecuários" fld="197" subtotal="count" baseField="0" baseItem="0"/>
    <dataField name="Contagem de Programas de TV" fld="198" subtotal="count" baseField="0" baseItem="0"/>
    <dataField name="Contagem de Outras mídias sociais" fld="199" subtotal="count" baseField="0" baseItem="0"/>
  </dataFields>
  <formats count="1">
    <format dxfId="7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B7AB1-633F-4271-A1E4-92CA90FD20F3}" name="Tabela dinâmica30" cacheId="82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273:B276" firstHeaderRow="1" firstDataRow="1" firstDataCol="1"/>
  <pivotFields count="323">
    <pivotField showAll="0"/>
    <pivotField showAll="0">
      <items count="14">
        <item x="2"/>
        <item x="7"/>
        <item x="0"/>
        <item x="11"/>
        <item x="10"/>
        <item x="1"/>
        <item x="9"/>
        <item x="6"/>
        <item x="3"/>
        <item x="4"/>
        <item x="12"/>
        <item x="8"/>
        <item x="5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Média de TOTAL FAMILIAR (TRABALHADOR/DIA)" fld="123" subtotal="average" baseField="0" baseItem="0" numFmtId="2"/>
    <dataField name="Média de TOTAL CONTRATADA (TRABALHADOR/DIA)" fld="124" subtotal="average" baseField="0" baseItem="0" numFmtId="2"/>
    <dataField name="Média de MDO TOTAL (TRABALHADOR/DIA)" fld="125" subtotal="average" baseField="0" baseItem="0" numFmtId="2"/>
  </dataFields>
  <formats count="1">
    <format dxfId="7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unicípio" xr10:uid="{024D73AC-65EC-4BF3-A531-A9BFF24CDB40}" sourceName="Município">
  <pivotTables>
    <pivotTable tabId="3" name="Tabela dinâmica6"/>
    <pivotTable tabId="3" name="Tabela dinâmica1"/>
    <pivotTable tabId="3" name="Tabela dinâmica10"/>
    <pivotTable tabId="3" name="Tabela dinâmica11"/>
    <pivotTable tabId="3" name="Tabela dinâmica12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"/>
    <pivotTable tabId="3" name="Tabela dinâmica20"/>
    <pivotTable tabId="3" name="Tabela dinâmica21"/>
    <pivotTable tabId="3" name="Tabela dinâmica22"/>
    <pivotTable tabId="3" name="Tabela dinâmica23"/>
    <pivotTable tabId="3" name="Tabela dinâmica24"/>
    <pivotTable tabId="3" name="Tabela dinâmica25"/>
    <pivotTable tabId="3" name="Tabela dinâmica26"/>
    <pivotTable tabId="3" name="Tabela dinâmica27"/>
    <pivotTable tabId="3" name="Tabela dinâmica28"/>
    <pivotTable tabId="3" name="Tabela dinâmica29"/>
    <pivotTable tabId="3" name="Tabela dinâmica3"/>
    <pivotTable tabId="3" name="Tabela dinâmica30"/>
    <pivotTable tabId="3" name="Tabela dinâmica31"/>
    <pivotTable tabId="3" name="Tabela dinâmica32"/>
    <pivotTable tabId="3" name="Tabela dinâmica33"/>
    <pivotTable tabId="3" name="Tabela dinâmica34"/>
    <pivotTable tabId="3" name="Tabela dinâmica35"/>
    <pivotTable tabId="3" name="Tabela dinâmica36"/>
    <pivotTable tabId="3" name="Tabela dinâmica37"/>
    <pivotTable tabId="3" name="Tabela dinâmica38"/>
    <pivotTable tabId="3" name="Tabela dinâmica39"/>
    <pivotTable tabId="3" name="Tabela dinâmica4"/>
    <pivotTable tabId="3" name="Tabela dinâmica40"/>
    <pivotTable tabId="3" name="Tabela dinâmica41"/>
    <pivotTable tabId="3" name="Tabela dinâmica42"/>
    <pivotTable tabId="3" name="Tabela dinâmica43"/>
    <pivotTable tabId="3" name="Tabela dinâmica44"/>
    <pivotTable tabId="3" name="Tabela dinâmica45"/>
    <pivotTable tabId="3" name="Tabela dinâmica46"/>
    <pivotTable tabId="3" name="Tabela dinâmica47"/>
    <pivotTable tabId="3" name="Tabela dinâmica48"/>
    <pivotTable tabId="3" name="Tabela dinâmica49"/>
    <pivotTable tabId="3" name="Tabela dinâmica5"/>
    <pivotTable tabId="3" name="Tabela dinâmica50"/>
    <pivotTable tabId="3" name="Tabela dinâmica51"/>
    <pivotTable tabId="3" name="Tabela dinâmica52"/>
    <pivotTable tabId="3" name="Tabela dinâmica53"/>
    <pivotTable tabId="3" name="Tabela dinâmica54"/>
    <pivotTable tabId="3" name="Tabela dinâmica55"/>
    <pivotTable tabId="3" name="Tabela dinâmica56"/>
    <pivotTable tabId="3" name="Tabela dinâmica57"/>
    <pivotTable tabId="3" name="Tabela dinâmica58"/>
    <pivotTable tabId="3" name="Tabela dinâmica59"/>
    <pivotTable tabId="3" name="Tabela dinâmica60"/>
    <pivotTable tabId="3" name="Tabela dinâmica61"/>
    <pivotTable tabId="3" name="Tabela dinâmica62"/>
    <pivotTable tabId="3" name="Tabela dinâmica63"/>
    <pivotTable tabId="3" name="Tabela dinâmica64"/>
    <pivotTable tabId="3" name="Tabela dinâmica65"/>
    <pivotTable tabId="3" name="Tabela dinâmica66"/>
    <pivotTable tabId="3" name="Tabela dinâmica67"/>
    <pivotTable tabId="3" name="Tabela dinâmica68"/>
    <pivotTable tabId="3" name="Tabela dinâmica69"/>
    <pivotTable tabId="3" name="Tabela dinâmica7"/>
    <pivotTable tabId="3" name="Tabela dinâmica70"/>
    <pivotTable tabId="3" name="Tabela dinâmica71"/>
    <pivotTable tabId="3" name="Tabela dinâmica72"/>
    <pivotTable tabId="3" name="Tabela dinâmica73"/>
    <pivotTable tabId="3" name="Tabela dinâmica8"/>
    <pivotTable tabId="3" name="Tabela dinâmica9"/>
  </pivotTables>
  <data>
    <tabular pivotCacheId="457354964">
      <items count="13">
        <i x="2" s="1"/>
        <i x="7" s="1"/>
        <i x="0" s="1"/>
        <i x="11" s="1"/>
        <i x="10" s="1"/>
        <i x="1" s="1"/>
        <i x="9" s="1"/>
        <i x="6" s="1"/>
        <i x="3" s="1"/>
        <i x="4" s="1"/>
        <i x="12" s="1"/>
        <i x="8" s="1"/>
        <i x="5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LOGIA_DA_PRODUÇÃO_DE_LEITE" xr10:uid="{990C5973-8B4B-4C80-BCD0-871218F7C974}" sourceName="TIPOLOGIA DA PRODUÇÃO DE LEITE">
  <pivotTables>
    <pivotTable tabId="3" name="Tabela dinâmica6"/>
    <pivotTable tabId="3" name="Tabela dinâmica1"/>
    <pivotTable tabId="3" name="Tabela dinâmica10"/>
    <pivotTable tabId="3" name="Tabela dinâmica11"/>
    <pivotTable tabId="3" name="Tabela dinâmica12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"/>
    <pivotTable tabId="3" name="Tabela dinâmica20"/>
    <pivotTable tabId="3" name="Tabela dinâmica21"/>
    <pivotTable tabId="3" name="Tabela dinâmica22"/>
    <pivotTable tabId="3" name="Tabela dinâmica23"/>
    <pivotTable tabId="3" name="Tabela dinâmica24"/>
    <pivotTable tabId="3" name="Tabela dinâmica25"/>
    <pivotTable tabId="3" name="Tabela dinâmica26"/>
    <pivotTable tabId="3" name="Tabela dinâmica27"/>
    <pivotTable tabId="3" name="Tabela dinâmica28"/>
    <pivotTable tabId="3" name="Tabela dinâmica29"/>
    <pivotTable tabId="3" name="Tabela dinâmica3"/>
    <pivotTable tabId="3" name="Tabela dinâmica30"/>
    <pivotTable tabId="3" name="Tabela dinâmica31"/>
    <pivotTable tabId="3" name="Tabela dinâmica32"/>
    <pivotTable tabId="3" name="Tabela dinâmica33"/>
    <pivotTable tabId="3" name="Tabela dinâmica34"/>
    <pivotTable tabId="3" name="Tabela dinâmica35"/>
    <pivotTable tabId="3" name="Tabela dinâmica36"/>
    <pivotTable tabId="3" name="Tabela dinâmica37"/>
    <pivotTable tabId="3" name="Tabela dinâmica38"/>
    <pivotTable tabId="3" name="Tabela dinâmica39"/>
    <pivotTable tabId="3" name="Tabela dinâmica4"/>
    <pivotTable tabId="3" name="Tabela dinâmica40"/>
    <pivotTable tabId="3" name="Tabela dinâmica41"/>
    <pivotTable tabId="3" name="Tabela dinâmica42"/>
    <pivotTable tabId="3" name="Tabela dinâmica43"/>
    <pivotTable tabId="3" name="Tabela dinâmica44"/>
    <pivotTable tabId="3" name="Tabela dinâmica45"/>
    <pivotTable tabId="3" name="Tabela dinâmica46"/>
    <pivotTable tabId="3" name="Tabela dinâmica47"/>
    <pivotTable tabId="3" name="Tabela dinâmica48"/>
    <pivotTable tabId="3" name="Tabela dinâmica49"/>
    <pivotTable tabId="3" name="Tabela dinâmica5"/>
    <pivotTable tabId="3" name="Tabela dinâmica50"/>
    <pivotTable tabId="3" name="Tabela dinâmica51"/>
    <pivotTable tabId="3" name="Tabela dinâmica52"/>
    <pivotTable tabId="3" name="Tabela dinâmica53"/>
    <pivotTable tabId="3" name="Tabela dinâmica54"/>
    <pivotTable tabId="3" name="Tabela dinâmica55"/>
    <pivotTable tabId="3" name="Tabela dinâmica56"/>
    <pivotTable tabId="3" name="Tabela dinâmica57"/>
    <pivotTable tabId="3" name="Tabela dinâmica58"/>
    <pivotTable tabId="3" name="Tabela dinâmica59"/>
    <pivotTable tabId="3" name="Tabela dinâmica60"/>
    <pivotTable tabId="3" name="Tabela dinâmica61"/>
    <pivotTable tabId="3" name="Tabela dinâmica62"/>
    <pivotTable tabId="3" name="Tabela dinâmica63"/>
    <pivotTable tabId="3" name="Tabela dinâmica64"/>
    <pivotTable tabId="3" name="Tabela dinâmica65"/>
    <pivotTable tabId="3" name="Tabela dinâmica66"/>
    <pivotTable tabId="3" name="Tabela dinâmica67"/>
    <pivotTable tabId="3" name="Tabela dinâmica68"/>
    <pivotTable tabId="3" name="Tabela dinâmica69"/>
    <pivotTable tabId="3" name="Tabela dinâmica7"/>
    <pivotTable tabId="3" name="Tabela dinâmica70"/>
    <pivotTable tabId="3" name="Tabela dinâmica71"/>
    <pivotTable tabId="3" name="Tabela dinâmica72"/>
    <pivotTable tabId="3" name="Tabela dinâmica73"/>
    <pivotTable tabId="3" name="Tabela dinâmica8"/>
    <pivotTable tabId="3" name="Tabela dinâmica9"/>
  </pivotTables>
  <data>
    <tabular pivotCacheId="457354964">
      <items count="2">
        <i x="1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RATO_DE_PRODUÇÃO__L_DIA" xr10:uid="{0E20867F-99D9-4F73-938E-292041E186A2}" sourceName="ESTRATO DE PRODUÇÃO (L/DIA)">
  <pivotTables>
    <pivotTable tabId="3" name="Tabela dinâmica6"/>
    <pivotTable tabId="3" name="Tabela dinâmica1"/>
    <pivotTable tabId="3" name="Tabela dinâmica10"/>
    <pivotTable tabId="3" name="Tabela dinâmica11"/>
    <pivotTable tabId="3" name="Tabela dinâmica12"/>
    <pivotTable tabId="3" name="Tabela dinâmica13"/>
    <pivotTable tabId="3" name="Tabela dinâmica14"/>
    <pivotTable tabId="3" name="Tabela dinâmica15"/>
    <pivotTable tabId="3" name="Tabela dinâmica16"/>
    <pivotTable tabId="3" name="Tabela dinâmica17"/>
    <pivotTable tabId="3" name="Tabela dinâmica18"/>
    <pivotTable tabId="3" name="Tabela dinâmica19"/>
    <pivotTable tabId="3" name="Tabela dinâmica2"/>
    <pivotTable tabId="3" name="Tabela dinâmica20"/>
    <pivotTable tabId="3" name="Tabela dinâmica21"/>
    <pivotTable tabId="3" name="Tabela dinâmica22"/>
    <pivotTable tabId="3" name="Tabela dinâmica23"/>
    <pivotTable tabId="3" name="Tabela dinâmica24"/>
    <pivotTable tabId="3" name="Tabela dinâmica25"/>
    <pivotTable tabId="3" name="Tabela dinâmica26"/>
    <pivotTable tabId="3" name="Tabela dinâmica27"/>
    <pivotTable tabId="3" name="Tabela dinâmica28"/>
    <pivotTable tabId="3" name="Tabela dinâmica29"/>
    <pivotTable tabId="3" name="Tabela dinâmica3"/>
    <pivotTable tabId="3" name="Tabela dinâmica30"/>
    <pivotTable tabId="3" name="Tabela dinâmica31"/>
    <pivotTable tabId="3" name="Tabela dinâmica32"/>
    <pivotTable tabId="3" name="Tabela dinâmica33"/>
    <pivotTable tabId="3" name="Tabela dinâmica34"/>
    <pivotTable tabId="3" name="Tabela dinâmica35"/>
    <pivotTable tabId="3" name="Tabela dinâmica36"/>
    <pivotTable tabId="3" name="Tabela dinâmica37"/>
    <pivotTable tabId="3" name="Tabela dinâmica38"/>
    <pivotTable tabId="3" name="Tabela dinâmica39"/>
    <pivotTable tabId="3" name="Tabela dinâmica4"/>
    <pivotTable tabId="3" name="Tabela dinâmica40"/>
    <pivotTable tabId="3" name="Tabela dinâmica41"/>
    <pivotTable tabId="3" name="Tabela dinâmica42"/>
    <pivotTable tabId="3" name="Tabela dinâmica43"/>
    <pivotTable tabId="3" name="Tabela dinâmica44"/>
    <pivotTable tabId="3" name="Tabela dinâmica45"/>
    <pivotTable tabId="3" name="Tabela dinâmica46"/>
    <pivotTable tabId="3" name="Tabela dinâmica47"/>
    <pivotTable tabId="3" name="Tabela dinâmica48"/>
    <pivotTable tabId="3" name="Tabela dinâmica49"/>
    <pivotTable tabId="3" name="Tabela dinâmica5"/>
    <pivotTable tabId="3" name="Tabela dinâmica50"/>
    <pivotTable tabId="3" name="Tabela dinâmica51"/>
    <pivotTable tabId="3" name="Tabela dinâmica52"/>
    <pivotTable tabId="3" name="Tabela dinâmica53"/>
    <pivotTable tabId="3" name="Tabela dinâmica54"/>
    <pivotTable tabId="3" name="Tabela dinâmica55"/>
    <pivotTable tabId="3" name="Tabela dinâmica56"/>
    <pivotTable tabId="3" name="Tabela dinâmica57"/>
    <pivotTable tabId="3" name="Tabela dinâmica58"/>
    <pivotTable tabId="3" name="Tabela dinâmica59"/>
    <pivotTable tabId="3" name="Tabela dinâmica60"/>
    <pivotTable tabId="3" name="Tabela dinâmica61"/>
    <pivotTable tabId="3" name="Tabela dinâmica62"/>
    <pivotTable tabId="3" name="Tabela dinâmica63"/>
    <pivotTable tabId="3" name="Tabela dinâmica64"/>
    <pivotTable tabId="3" name="Tabela dinâmica65"/>
    <pivotTable tabId="3" name="Tabela dinâmica66"/>
    <pivotTable tabId="3" name="Tabela dinâmica67"/>
    <pivotTable tabId="3" name="Tabela dinâmica68"/>
    <pivotTable tabId="3" name="Tabela dinâmica69"/>
    <pivotTable tabId="3" name="Tabela dinâmica7"/>
    <pivotTable tabId="3" name="Tabela dinâmica70"/>
    <pivotTable tabId="3" name="Tabela dinâmica71"/>
    <pivotTable tabId="3" name="Tabela dinâmica72"/>
    <pivotTable tabId="3" name="Tabela dinâmica73"/>
    <pivotTable tabId="3" name="Tabela dinâmica8"/>
    <pivotTable tabId="3" name="Tabela dinâmica9"/>
  </pivotTables>
  <data>
    <tabular pivotCacheId="457354964">
      <items count="5">
        <i x="2" s="1"/>
        <i x="1" s="1"/>
        <i x="4" s="1"/>
        <i x="0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unicípio" xr10:uid="{5C90C20D-67AB-4851-B60A-BB904A3AA000}" cache="SegmentaçãodeDados_Município" caption="Município" style="SlicerStyleDark1" lockedPosition="1" rowHeight="247650"/>
  <slicer name="TIPOLOGIA DA PRODUÇÃO DE LEITE" xr10:uid="{88A1650B-DBBF-4CD3-9BE5-E31237020EDE}" cache="SegmentaçãodeDados_TIPOLOGIA_DA_PRODUÇÃO_DE_LEITE" caption="Tipologia da produção" style="SlicerStyleDark1" lockedPosition="1" rowHeight="247650"/>
  <slicer name="ESTRATO DE PRODUÇÃO (L/DIA)" xr10:uid="{E529E23B-2122-4E52-836D-851C3F2872F5}" cache="SegmentaçãodeDados_ESTRATO_DE_PRODUÇÃO__L_DIA" caption="Estrato de produção (litros/dia)" style="SlicerStyleDark1" lockedPosition="1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pivotTable" Target="../pivotTables/pivotTable26.xml"/><Relationship Id="rId21" Type="http://schemas.openxmlformats.org/officeDocument/2006/relationships/pivotTable" Target="../pivotTables/pivotTable21.xml"/><Relationship Id="rId42" Type="http://schemas.openxmlformats.org/officeDocument/2006/relationships/pivotTable" Target="../pivotTables/pivotTable42.xml"/><Relationship Id="rId47" Type="http://schemas.openxmlformats.org/officeDocument/2006/relationships/pivotTable" Target="../pivotTables/pivotTable47.xml"/><Relationship Id="rId63" Type="http://schemas.openxmlformats.org/officeDocument/2006/relationships/pivotTable" Target="../pivotTables/pivotTable63.xml"/><Relationship Id="rId68" Type="http://schemas.openxmlformats.org/officeDocument/2006/relationships/pivotTable" Target="../pivotTables/pivotTable68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9" Type="http://schemas.openxmlformats.org/officeDocument/2006/relationships/pivotTable" Target="../pivotTables/pivotTable29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45" Type="http://schemas.openxmlformats.org/officeDocument/2006/relationships/pivotTable" Target="../pivotTables/pivotTable45.xml"/><Relationship Id="rId53" Type="http://schemas.openxmlformats.org/officeDocument/2006/relationships/pivotTable" Target="../pivotTables/pivotTable53.xml"/><Relationship Id="rId58" Type="http://schemas.openxmlformats.org/officeDocument/2006/relationships/pivotTable" Target="../pivotTables/pivotTable58.xml"/><Relationship Id="rId66" Type="http://schemas.openxmlformats.org/officeDocument/2006/relationships/pivotTable" Target="../pivotTables/pivotTable66.xml"/><Relationship Id="rId5" Type="http://schemas.openxmlformats.org/officeDocument/2006/relationships/pivotTable" Target="../pivotTables/pivotTable5.xml"/><Relationship Id="rId61" Type="http://schemas.openxmlformats.org/officeDocument/2006/relationships/pivotTable" Target="../pivotTables/pivotTable61.xml"/><Relationship Id="rId19" Type="http://schemas.openxmlformats.org/officeDocument/2006/relationships/pivotTable" Target="../pivotTables/pivotTable1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43" Type="http://schemas.openxmlformats.org/officeDocument/2006/relationships/pivotTable" Target="../pivotTables/pivotTable43.xml"/><Relationship Id="rId48" Type="http://schemas.openxmlformats.org/officeDocument/2006/relationships/pivotTable" Target="../pivotTables/pivotTable48.xml"/><Relationship Id="rId56" Type="http://schemas.openxmlformats.org/officeDocument/2006/relationships/pivotTable" Target="../pivotTables/pivotTable56.xml"/><Relationship Id="rId64" Type="http://schemas.openxmlformats.org/officeDocument/2006/relationships/pivotTable" Target="../pivotTables/pivotTable64.xml"/><Relationship Id="rId69" Type="http://schemas.openxmlformats.org/officeDocument/2006/relationships/pivotTable" Target="../pivotTables/pivotTable69.xml"/><Relationship Id="rId8" Type="http://schemas.openxmlformats.org/officeDocument/2006/relationships/pivotTable" Target="../pivotTables/pivotTable8.xml"/><Relationship Id="rId51" Type="http://schemas.openxmlformats.org/officeDocument/2006/relationships/pivotTable" Target="../pivotTables/pivotTable51.xml"/><Relationship Id="rId72" Type="http://schemas.openxmlformats.org/officeDocument/2006/relationships/pivotTable" Target="../pivotTables/pivotTable72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46" Type="http://schemas.openxmlformats.org/officeDocument/2006/relationships/pivotTable" Target="../pivotTables/pivotTable46.xml"/><Relationship Id="rId59" Type="http://schemas.openxmlformats.org/officeDocument/2006/relationships/pivotTable" Target="../pivotTables/pivotTable59.xml"/><Relationship Id="rId67" Type="http://schemas.openxmlformats.org/officeDocument/2006/relationships/pivotTable" Target="../pivotTables/pivotTable67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54" Type="http://schemas.openxmlformats.org/officeDocument/2006/relationships/pivotTable" Target="../pivotTables/pivotTable54.xml"/><Relationship Id="rId62" Type="http://schemas.openxmlformats.org/officeDocument/2006/relationships/pivotTable" Target="../pivotTables/pivotTable62.xml"/><Relationship Id="rId70" Type="http://schemas.openxmlformats.org/officeDocument/2006/relationships/pivotTable" Target="../pivotTables/pivotTable7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49" Type="http://schemas.openxmlformats.org/officeDocument/2006/relationships/pivotTable" Target="../pivotTables/pivotTable49.xml"/><Relationship Id="rId57" Type="http://schemas.openxmlformats.org/officeDocument/2006/relationships/pivotTable" Target="../pivotTables/pivotTable57.xml"/><Relationship Id="rId10" Type="http://schemas.openxmlformats.org/officeDocument/2006/relationships/pivotTable" Target="../pivotTables/pivotTable10.xml"/><Relationship Id="rId31" Type="http://schemas.openxmlformats.org/officeDocument/2006/relationships/pivotTable" Target="../pivotTables/pivotTable31.xml"/><Relationship Id="rId44" Type="http://schemas.openxmlformats.org/officeDocument/2006/relationships/pivotTable" Target="../pivotTables/pivotTable44.xml"/><Relationship Id="rId52" Type="http://schemas.openxmlformats.org/officeDocument/2006/relationships/pivotTable" Target="../pivotTables/pivotTable52.xml"/><Relationship Id="rId60" Type="http://schemas.openxmlformats.org/officeDocument/2006/relationships/pivotTable" Target="../pivotTables/pivotTable60.xml"/><Relationship Id="rId65" Type="http://schemas.openxmlformats.org/officeDocument/2006/relationships/pivotTable" Target="../pivotTables/pivotTable65.xml"/><Relationship Id="rId73" Type="http://schemas.openxmlformats.org/officeDocument/2006/relationships/pivotTable" Target="../pivotTables/pivotTable7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9" Type="http://schemas.openxmlformats.org/officeDocument/2006/relationships/pivotTable" Target="../pivotTables/pivotTable39.xml"/><Relationship Id="rId34" Type="http://schemas.openxmlformats.org/officeDocument/2006/relationships/pivotTable" Target="../pivotTables/pivotTable34.xml"/><Relationship Id="rId50" Type="http://schemas.openxmlformats.org/officeDocument/2006/relationships/pivotTable" Target="../pivotTables/pivotTable50.xml"/><Relationship Id="rId55" Type="http://schemas.openxmlformats.org/officeDocument/2006/relationships/pivotTable" Target="../pivotTables/pivotTable55.xml"/><Relationship Id="rId7" Type="http://schemas.openxmlformats.org/officeDocument/2006/relationships/pivotTable" Target="../pivotTables/pivotTable7.xml"/><Relationship Id="rId71" Type="http://schemas.openxmlformats.org/officeDocument/2006/relationships/pivotTable" Target="../pivotTables/pivotTable7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14E8-B736-4C64-84E8-670BABC90DDB}">
  <sheetPr codeName="Planilha1"/>
  <dimension ref="A1:LK31"/>
  <sheetViews>
    <sheetView workbookViewId="0">
      <pane xSplit="1" ySplit="1" topLeftCell="B2" activePane="bottomRight" state="frozen"/>
      <selection activeCell="B1" sqref="B1"/>
      <selection pane="topRight" activeCell="B1" sqref="B1"/>
      <selection pane="bottomLeft" activeCell="B1" sqref="B1"/>
      <selection pane="bottomRight"/>
    </sheetView>
  </sheetViews>
  <sheetFormatPr defaultColWidth="12.6640625" defaultRowHeight="14.4" x14ac:dyDescent="0.3"/>
  <cols>
    <col min="1" max="1" width="31.109375" customWidth="1"/>
    <col min="2" max="2" width="18.88671875" customWidth="1"/>
    <col min="3" max="4" width="30.6640625" customWidth="1"/>
    <col min="5" max="5" width="37.6640625" customWidth="1"/>
    <col min="6" max="6" width="32.88671875" customWidth="1"/>
    <col min="7" max="10" width="37.6640625" customWidth="1"/>
    <col min="11" max="19" width="18.88671875" customWidth="1"/>
    <col min="20" max="20" width="37.109375" customWidth="1"/>
    <col min="21" max="22" width="18.88671875" customWidth="1"/>
    <col min="23" max="23" width="37.6640625" customWidth="1"/>
    <col min="24" max="34" width="37.6640625" style="13" customWidth="1"/>
    <col min="35" max="44" width="37.6640625" customWidth="1"/>
    <col min="45" max="54" width="18.88671875" customWidth="1"/>
    <col min="55" max="57" width="37.6640625" customWidth="1"/>
    <col min="58" max="66" width="18.88671875" customWidth="1"/>
    <col min="67" max="67" width="37.6640625" customWidth="1"/>
    <col min="68" max="79" width="18.88671875" customWidth="1"/>
    <col min="80" max="80" width="37.6640625" customWidth="1"/>
    <col min="81" max="89" width="18.88671875" customWidth="1"/>
    <col min="90" max="93" width="37.6640625" customWidth="1"/>
    <col min="94" max="100" width="18.88671875" customWidth="1"/>
    <col min="101" max="101" width="37.6640625" customWidth="1"/>
    <col min="102" max="107" width="18.88671875" customWidth="1"/>
    <col min="108" max="108" width="37.6640625" customWidth="1"/>
    <col min="109" max="109" width="32.6640625" customWidth="1"/>
    <col min="110" max="110" width="30.88671875" customWidth="1"/>
    <col min="111" max="112" width="37.6640625" customWidth="1"/>
    <col min="113" max="113" width="37.44140625" customWidth="1"/>
    <col min="114" max="120" width="37.6640625" customWidth="1"/>
    <col min="121" max="122" width="35.77734375" customWidth="1"/>
    <col min="123" max="152" width="37.6640625" customWidth="1"/>
    <col min="153" max="153" width="29.44140625" customWidth="1"/>
    <col min="154" max="154" width="26.44140625" customWidth="1"/>
    <col min="155" max="155" width="30.109375" customWidth="1"/>
    <col min="156" max="156" width="37.33203125" customWidth="1"/>
    <col min="157" max="157" width="29.6640625" customWidth="1"/>
    <col min="158" max="158" width="20.6640625" customWidth="1"/>
    <col min="159" max="159" width="32.33203125" customWidth="1"/>
    <col min="160" max="160" width="30.6640625" customWidth="1"/>
    <col min="161" max="161" width="30" customWidth="1"/>
    <col min="162" max="163" width="37.6640625" customWidth="1"/>
    <col min="164" max="172" width="18.88671875" customWidth="1"/>
    <col min="173" max="173" width="37.6640625" customWidth="1"/>
    <col min="174" max="181" width="18.88671875" customWidth="1"/>
    <col min="182" max="183" width="37.6640625" customWidth="1"/>
    <col min="184" max="190" width="18.88671875" customWidth="1"/>
    <col min="191" max="194" width="37.6640625" customWidth="1"/>
    <col min="195" max="200" width="18.88671875" customWidth="1"/>
    <col min="201" max="202" width="37.6640625" customWidth="1"/>
    <col min="203" max="213" width="18.88671875" customWidth="1"/>
    <col min="214" max="214" width="37.6640625" customWidth="1"/>
    <col min="215" max="225" width="18.88671875" customWidth="1"/>
    <col min="226" max="231" width="37.6640625" customWidth="1"/>
    <col min="232" max="241" width="18.88671875" customWidth="1"/>
    <col min="242" max="242" width="36.88671875" customWidth="1"/>
    <col min="243" max="243" width="31.33203125" customWidth="1"/>
    <col min="244" max="244" width="37.6640625" customWidth="1"/>
    <col min="245" max="254" width="18.88671875" customWidth="1"/>
    <col min="255" max="256" width="37.6640625" customWidth="1"/>
    <col min="257" max="261" width="18.88671875" customWidth="1"/>
    <col min="262" max="265" width="37.6640625" customWidth="1"/>
    <col min="266" max="266" width="36.109375" customWidth="1"/>
    <col min="267" max="269" width="37.6640625" customWidth="1"/>
    <col min="270" max="279" width="18.88671875" customWidth="1"/>
    <col min="280" max="280" width="37.6640625" customWidth="1"/>
    <col min="281" max="287" width="18.88671875" customWidth="1"/>
    <col min="288" max="288" width="37.6640625" customWidth="1"/>
    <col min="289" max="292" width="18.88671875" customWidth="1"/>
    <col min="293" max="293" width="25.109375" customWidth="1"/>
    <col min="294" max="294" width="33.33203125" customWidth="1"/>
    <col min="295" max="297" width="37.6640625" customWidth="1"/>
    <col min="298" max="306" width="18.88671875" customWidth="1"/>
    <col min="307" max="311" width="37.6640625" customWidth="1"/>
    <col min="312" max="318" width="18.88671875" customWidth="1"/>
    <col min="319" max="323" width="37.6640625" customWidth="1"/>
    <col min="324" max="329" width="18.88671875" customWidth="1"/>
  </cols>
  <sheetData>
    <row r="1" spans="1:323" s="7" customFormat="1" ht="55.2" x14ac:dyDescent="0.3">
      <c r="A1" s="1" t="s">
        <v>1041</v>
      </c>
      <c r="B1" s="2" t="s">
        <v>0</v>
      </c>
      <c r="C1" s="2" t="s">
        <v>629</v>
      </c>
      <c r="D1" s="2" t="s">
        <v>630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3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2" t="s">
        <v>51</v>
      </c>
      <c r="BD1" s="2" t="s">
        <v>52</v>
      </c>
      <c r="BE1" s="3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3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62</v>
      </c>
      <c r="CB1" s="3" t="s">
        <v>75</v>
      </c>
      <c r="CC1" s="4" t="s">
        <v>76</v>
      </c>
      <c r="CD1" s="4" t="s">
        <v>77</v>
      </c>
      <c r="CE1" s="4" t="s">
        <v>78</v>
      </c>
      <c r="CF1" s="4" t="s">
        <v>79</v>
      </c>
      <c r="CG1" s="4" t="s">
        <v>80</v>
      </c>
      <c r="CH1" s="4" t="s">
        <v>81</v>
      </c>
      <c r="CI1" s="4" t="s">
        <v>82</v>
      </c>
      <c r="CJ1" s="4" t="s">
        <v>83</v>
      </c>
      <c r="CK1" s="4" t="s">
        <v>62</v>
      </c>
      <c r="CL1" s="2" t="s">
        <v>84</v>
      </c>
      <c r="CM1" s="2" t="s">
        <v>85</v>
      </c>
      <c r="CN1" s="2" t="s">
        <v>86</v>
      </c>
      <c r="CO1" s="3" t="s">
        <v>87</v>
      </c>
      <c r="CP1" s="4" t="s">
        <v>43</v>
      </c>
      <c r="CQ1" s="4" t="s">
        <v>88</v>
      </c>
      <c r="CR1" s="4" t="s">
        <v>44</v>
      </c>
      <c r="CS1" s="4" t="s">
        <v>89</v>
      </c>
      <c r="CT1" s="4" t="s">
        <v>90</v>
      </c>
      <c r="CU1" s="4" t="s">
        <v>91</v>
      </c>
      <c r="CV1" s="4" t="s">
        <v>92</v>
      </c>
      <c r="CW1" s="3" t="s">
        <v>93</v>
      </c>
      <c r="CX1" s="4" t="s">
        <v>94</v>
      </c>
      <c r="CY1" s="4" t="s">
        <v>95</v>
      </c>
      <c r="CZ1" s="4" t="s">
        <v>96</v>
      </c>
      <c r="DA1" s="4" t="s">
        <v>97</v>
      </c>
      <c r="DB1" s="4" t="s">
        <v>98</v>
      </c>
      <c r="DC1" s="4" t="s">
        <v>99</v>
      </c>
      <c r="DD1" s="2" t="s">
        <v>100</v>
      </c>
      <c r="DE1" s="2" t="s">
        <v>101</v>
      </c>
      <c r="DF1" s="2" t="s">
        <v>102</v>
      </c>
      <c r="DG1" s="2" t="s">
        <v>103</v>
      </c>
      <c r="DH1" s="2" t="s">
        <v>104</v>
      </c>
      <c r="DI1" s="2" t="s">
        <v>105</v>
      </c>
      <c r="DJ1" s="2" t="s">
        <v>106</v>
      </c>
      <c r="DK1" s="2" t="s">
        <v>107</v>
      </c>
      <c r="DL1" s="2" t="s">
        <v>108</v>
      </c>
      <c r="DM1" s="2" t="s">
        <v>109</v>
      </c>
      <c r="DN1" s="2" t="s">
        <v>110</v>
      </c>
      <c r="DO1" s="2" t="s">
        <v>111</v>
      </c>
      <c r="DP1" s="2" t="s">
        <v>112</v>
      </c>
      <c r="DQ1" s="2" t="s">
        <v>113</v>
      </c>
      <c r="DR1" s="2" t="s">
        <v>114</v>
      </c>
      <c r="DS1" s="2" t="s">
        <v>115</v>
      </c>
      <c r="DT1" s="6" t="s">
        <v>116</v>
      </c>
      <c r="DU1" s="6" t="s">
        <v>117</v>
      </c>
      <c r="DV1" s="6" t="s">
        <v>118</v>
      </c>
      <c r="DW1" s="2" t="s">
        <v>119</v>
      </c>
      <c r="DX1" s="2" t="s">
        <v>120</v>
      </c>
      <c r="DY1" s="2" t="s">
        <v>121</v>
      </c>
      <c r="DZ1" s="2" t="s">
        <v>122</v>
      </c>
      <c r="EA1" s="2" t="s">
        <v>123</v>
      </c>
      <c r="EB1" s="2" t="s">
        <v>124</v>
      </c>
      <c r="EC1" s="2" t="s">
        <v>125</v>
      </c>
      <c r="ED1" s="2" t="s">
        <v>126</v>
      </c>
      <c r="EE1" s="2" t="s">
        <v>127</v>
      </c>
      <c r="EF1" s="2" t="s">
        <v>128</v>
      </c>
      <c r="EG1" s="2" t="s">
        <v>129</v>
      </c>
      <c r="EH1" s="2" t="s">
        <v>130</v>
      </c>
      <c r="EI1" s="2" t="s">
        <v>131</v>
      </c>
      <c r="EJ1" s="2" t="s">
        <v>132</v>
      </c>
      <c r="EK1" s="2" t="s">
        <v>133</v>
      </c>
      <c r="EL1" s="2" t="s">
        <v>134</v>
      </c>
      <c r="EM1" s="2" t="s">
        <v>135</v>
      </c>
      <c r="EN1" s="2" t="s">
        <v>136</v>
      </c>
      <c r="EO1" s="2" t="s">
        <v>137</v>
      </c>
      <c r="EP1" s="2" t="s">
        <v>138</v>
      </c>
      <c r="EQ1" s="2" t="s">
        <v>139</v>
      </c>
      <c r="ER1" s="2" t="s">
        <v>140</v>
      </c>
      <c r="ES1" s="2" t="s">
        <v>141</v>
      </c>
      <c r="ET1" s="2" t="s">
        <v>142</v>
      </c>
      <c r="EU1" s="2" t="s">
        <v>143</v>
      </c>
      <c r="EV1" s="2" t="s">
        <v>144</v>
      </c>
      <c r="EW1" s="2" t="s">
        <v>145</v>
      </c>
      <c r="EX1" s="2" t="s">
        <v>146</v>
      </c>
      <c r="EY1" s="2" t="s">
        <v>147</v>
      </c>
      <c r="EZ1" s="2" t="s">
        <v>148</v>
      </c>
      <c r="FA1" s="2" t="s">
        <v>149</v>
      </c>
      <c r="FB1" s="2" t="s">
        <v>150</v>
      </c>
      <c r="FC1" s="2" t="s">
        <v>151</v>
      </c>
      <c r="FD1" s="2" t="s">
        <v>152</v>
      </c>
      <c r="FE1" s="2" t="s">
        <v>153</v>
      </c>
      <c r="FF1" s="2" t="s">
        <v>154</v>
      </c>
      <c r="FG1" s="3" t="s">
        <v>155</v>
      </c>
      <c r="FH1" s="4" t="s">
        <v>156</v>
      </c>
      <c r="FI1" s="4" t="s">
        <v>157</v>
      </c>
      <c r="FJ1" s="4" t="s">
        <v>158</v>
      </c>
      <c r="FK1" s="4" t="s">
        <v>159</v>
      </c>
      <c r="FL1" s="4" t="s">
        <v>160</v>
      </c>
      <c r="FM1" s="4" t="s">
        <v>161</v>
      </c>
      <c r="FN1" s="4" t="s">
        <v>162</v>
      </c>
      <c r="FO1" s="4" t="s">
        <v>163</v>
      </c>
      <c r="FP1" s="4" t="s">
        <v>164</v>
      </c>
      <c r="FQ1" s="3" t="s">
        <v>165</v>
      </c>
      <c r="FR1" s="4" t="s">
        <v>166</v>
      </c>
      <c r="FS1" s="4" t="s">
        <v>167</v>
      </c>
      <c r="FT1" s="4" t="s">
        <v>168</v>
      </c>
      <c r="FU1" s="4" t="s">
        <v>169</v>
      </c>
      <c r="FV1" s="4" t="s">
        <v>170</v>
      </c>
      <c r="FW1" s="4" t="s">
        <v>171</v>
      </c>
      <c r="FX1" s="4" t="s">
        <v>172</v>
      </c>
      <c r="FY1" s="4" t="s">
        <v>173</v>
      </c>
      <c r="FZ1" s="2" t="s">
        <v>174</v>
      </c>
      <c r="GA1" s="3" t="s">
        <v>175</v>
      </c>
      <c r="GB1" s="4" t="s">
        <v>176</v>
      </c>
      <c r="GC1" s="4" t="s">
        <v>177</v>
      </c>
      <c r="GD1" s="4" t="s">
        <v>178</v>
      </c>
      <c r="GE1" s="4" t="s">
        <v>179</v>
      </c>
      <c r="GF1" s="4" t="s">
        <v>180</v>
      </c>
      <c r="GG1" s="4" t="s">
        <v>181</v>
      </c>
      <c r="GH1" s="4" t="s">
        <v>182</v>
      </c>
      <c r="GI1" s="2" t="s">
        <v>183</v>
      </c>
      <c r="GJ1" s="2" t="s">
        <v>184</v>
      </c>
      <c r="GK1" s="2" t="s">
        <v>185</v>
      </c>
      <c r="GL1" s="3" t="s">
        <v>186</v>
      </c>
      <c r="GM1" s="4" t="s">
        <v>187</v>
      </c>
      <c r="GN1" s="4" t="s">
        <v>188</v>
      </c>
      <c r="GO1" s="4" t="s">
        <v>189</v>
      </c>
      <c r="GP1" s="4" t="s">
        <v>190</v>
      </c>
      <c r="GQ1" s="4" t="s">
        <v>191</v>
      </c>
      <c r="GR1" s="4" t="s">
        <v>192</v>
      </c>
      <c r="GS1" s="2" t="s">
        <v>193</v>
      </c>
      <c r="GT1" s="3" t="s">
        <v>194</v>
      </c>
      <c r="GU1" s="4" t="s">
        <v>195</v>
      </c>
      <c r="GV1" s="4" t="s">
        <v>196</v>
      </c>
      <c r="GW1" s="4" t="s">
        <v>197</v>
      </c>
      <c r="GX1" s="4" t="s">
        <v>79</v>
      </c>
      <c r="GY1" s="4" t="s">
        <v>77</v>
      </c>
      <c r="GZ1" s="4" t="s">
        <v>80</v>
      </c>
      <c r="HA1" s="4" t="s">
        <v>198</v>
      </c>
      <c r="HB1" s="4" t="s">
        <v>199</v>
      </c>
      <c r="HC1" s="4" t="s">
        <v>200</v>
      </c>
      <c r="HD1" s="4" t="s">
        <v>201</v>
      </c>
      <c r="HE1" s="4" t="s">
        <v>62</v>
      </c>
      <c r="HF1" s="3" t="s">
        <v>202</v>
      </c>
      <c r="HG1" s="4" t="s">
        <v>195</v>
      </c>
      <c r="HH1" s="4" t="s">
        <v>196</v>
      </c>
      <c r="HI1" s="4" t="s">
        <v>197</v>
      </c>
      <c r="HJ1" s="4" t="s">
        <v>79</v>
      </c>
      <c r="HK1" s="4" t="s">
        <v>77</v>
      </c>
      <c r="HL1" s="4" t="s">
        <v>80</v>
      </c>
      <c r="HM1" s="4" t="s">
        <v>198</v>
      </c>
      <c r="HN1" s="4" t="s">
        <v>199</v>
      </c>
      <c r="HO1" s="4" t="s">
        <v>200</v>
      </c>
      <c r="HP1" s="4" t="s">
        <v>201</v>
      </c>
      <c r="HQ1" s="4" t="s">
        <v>62</v>
      </c>
      <c r="HR1" s="2" t="s">
        <v>203</v>
      </c>
      <c r="HS1" s="2" t="s">
        <v>204</v>
      </c>
      <c r="HT1" s="2" t="s">
        <v>205</v>
      </c>
      <c r="HU1" s="2" t="s">
        <v>206</v>
      </c>
      <c r="HV1" s="2" t="s">
        <v>207</v>
      </c>
      <c r="HW1" s="3" t="s">
        <v>208</v>
      </c>
      <c r="HX1" s="4" t="s">
        <v>209</v>
      </c>
      <c r="HY1" s="4" t="s">
        <v>210</v>
      </c>
      <c r="HZ1" s="4" t="s">
        <v>211</v>
      </c>
      <c r="IA1" s="4" t="s">
        <v>212</v>
      </c>
      <c r="IB1" s="4" t="s">
        <v>213</v>
      </c>
      <c r="IC1" s="4" t="s">
        <v>214</v>
      </c>
      <c r="ID1" s="4" t="s">
        <v>215</v>
      </c>
      <c r="IE1" s="4" t="s">
        <v>216</v>
      </c>
      <c r="IF1" s="4" t="s">
        <v>217</v>
      </c>
      <c r="IG1" s="4" t="s">
        <v>218</v>
      </c>
      <c r="IH1" s="2" t="s">
        <v>219</v>
      </c>
      <c r="II1" s="2" t="s">
        <v>220</v>
      </c>
      <c r="IJ1" s="3" t="s">
        <v>221</v>
      </c>
      <c r="IK1" s="4" t="s">
        <v>222</v>
      </c>
      <c r="IL1" s="4" t="s">
        <v>223</v>
      </c>
      <c r="IM1" s="4" t="s">
        <v>224</v>
      </c>
      <c r="IN1" s="4" t="s">
        <v>225</v>
      </c>
      <c r="IO1" s="4" t="s">
        <v>226</v>
      </c>
      <c r="IP1" s="4" t="s">
        <v>227</v>
      </c>
      <c r="IQ1" s="4" t="s">
        <v>228</v>
      </c>
      <c r="IR1" s="4" t="s">
        <v>229</v>
      </c>
      <c r="IS1" s="4" t="s">
        <v>230</v>
      </c>
      <c r="IT1" s="4" t="s">
        <v>231</v>
      </c>
      <c r="IU1" s="2" t="s">
        <v>232</v>
      </c>
      <c r="IV1" s="3" t="s">
        <v>233</v>
      </c>
      <c r="IW1" s="4" t="s">
        <v>234</v>
      </c>
      <c r="IX1" s="4" t="s">
        <v>235</v>
      </c>
      <c r="IY1" s="4" t="s">
        <v>236</v>
      </c>
      <c r="IZ1" s="4" t="s">
        <v>237</v>
      </c>
      <c r="JA1" s="4" t="s">
        <v>238</v>
      </c>
      <c r="JB1" s="2" t="s">
        <v>239</v>
      </c>
      <c r="JC1" s="2" t="s">
        <v>240</v>
      </c>
      <c r="JD1" s="2" t="s">
        <v>241</v>
      </c>
      <c r="JE1" s="2" t="s">
        <v>242</v>
      </c>
      <c r="JF1" s="2" t="s">
        <v>243</v>
      </c>
      <c r="JG1" s="2" t="s">
        <v>244</v>
      </c>
      <c r="JH1" s="2" t="s">
        <v>245</v>
      </c>
      <c r="JI1" s="3" t="s">
        <v>246</v>
      </c>
      <c r="JJ1" s="4" t="s">
        <v>247</v>
      </c>
      <c r="JK1" s="4" t="s">
        <v>248</v>
      </c>
      <c r="JL1" s="4" t="s">
        <v>249</v>
      </c>
      <c r="JM1" s="4" t="s">
        <v>250</v>
      </c>
      <c r="JN1" s="4" t="s">
        <v>251</v>
      </c>
      <c r="JO1" s="4" t="s">
        <v>252</v>
      </c>
      <c r="JP1" s="4" t="s">
        <v>253</v>
      </c>
      <c r="JQ1" s="4" t="s">
        <v>254</v>
      </c>
      <c r="JR1" s="4" t="s">
        <v>255</v>
      </c>
      <c r="JS1" s="4" t="s">
        <v>256</v>
      </c>
      <c r="JT1" s="3" t="s">
        <v>257</v>
      </c>
      <c r="JU1" s="4" t="s">
        <v>258</v>
      </c>
      <c r="JV1" s="4" t="s">
        <v>259</v>
      </c>
      <c r="JW1" s="4" t="s">
        <v>260</v>
      </c>
      <c r="JX1" s="4" t="s">
        <v>261</v>
      </c>
      <c r="JY1" s="4" t="s">
        <v>262</v>
      </c>
      <c r="JZ1" s="4" t="s">
        <v>263</v>
      </c>
      <c r="KA1" s="4" t="s">
        <v>264</v>
      </c>
      <c r="KB1" s="3" t="s">
        <v>265</v>
      </c>
      <c r="KC1" s="4" t="s">
        <v>266</v>
      </c>
      <c r="KD1" s="4" t="s">
        <v>267</v>
      </c>
      <c r="KE1" s="4" t="s">
        <v>268</v>
      </c>
      <c r="KF1" s="4" t="s">
        <v>269</v>
      </c>
      <c r="KG1" s="2" t="s">
        <v>270</v>
      </c>
      <c r="KH1" s="2" t="s">
        <v>271</v>
      </c>
      <c r="KI1" s="2" t="s">
        <v>272</v>
      </c>
      <c r="KJ1" s="2" t="s">
        <v>273</v>
      </c>
      <c r="KK1" s="3" t="s">
        <v>274</v>
      </c>
      <c r="KL1" s="4" t="s">
        <v>275</v>
      </c>
      <c r="KM1" s="4" t="s">
        <v>276</v>
      </c>
      <c r="KN1" s="4" t="s">
        <v>277</v>
      </c>
      <c r="KO1" s="4" t="s">
        <v>278</v>
      </c>
      <c r="KP1" s="4" t="s">
        <v>279</v>
      </c>
      <c r="KQ1" s="4" t="s">
        <v>280</v>
      </c>
      <c r="KR1" s="4" t="s">
        <v>281</v>
      </c>
      <c r="KS1" s="4" t="s">
        <v>282</v>
      </c>
      <c r="KT1" s="4" t="s">
        <v>283</v>
      </c>
      <c r="KU1" s="2" t="s">
        <v>284</v>
      </c>
      <c r="KV1" s="2" t="s">
        <v>285</v>
      </c>
      <c r="KW1" s="2" t="s">
        <v>286</v>
      </c>
      <c r="KX1" s="2" t="s">
        <v>287</v>
      </c>
      <c r="KY1" s="3" t="s">
        <v>288</v>
      </c>
      <c r="KZ1" s="4" t="s">
        <v>289</v>
      </c>
      <c r="LA1" s="4" t="s">
        <v>290</v>
      </c>
      <c r="LB1" s="4" t="s">
        <v>291</v>
      </c>
      <c r="LC1" s="4" t="s">
        <v>292</v>
      </c>
      <c r="LD1" s="4" t="s">
        <v>293</v>
      </c>
      <c r="LE1" s="4" t="s">
        <v>294</v>
      </c>
      <c r="LF1" s="4" t="s">
        <v>62</v>
      </c>
      <c r="LG1" s="2" t="s">
        <v>295</v>
      </c>
      <c r="LH1" s="2" t="s">
        <v>296</v>
      </c>
      <c r="LI1" s="2" t="s">
        <v>297</v>
      </c>
      <c r="LJ1" s="2" t="s">
        <v>298</v>
      </c>
      <c r="LK1" s="2" t="s">
        <v>299</v>
      </c>
    </row>
    <row r="2" spans="1:323" x14ac:dyDescent="0.3">
      <c r="A2" s="8"/>
      <c r="B2" s="9" t="s">
        <v>300</v>
      </c>
      <c r="C2" s="9" t="s">
        <v>302</v>
      </c>
      <c r="D2" s="9" t="s">
        <v>631</v>
      </c>
      <c r="E2" s="9" t="s">
        <v>301</v>
      </c>
      <c r="F2" s="9" t="s">
        <v>303</v>
      </c>
      <c r="G2" s="9" t="s">
        <v>304</v>
      </c>
      <c r="H2" s="9" t="s">
        <v>304</v>
      </c>
      <c r="I2" s="9" t="s">
        <v>304</v>
      </c>
      <c r="J2" s="9" t="s">
        <v>305</v>
      </c>
      <c r="K2" s="9" t="s">
        <v>306</v>
      </c>
      <c r="L2" s="9" t="s">
        <v>306</v>
      </c>
      <c r="M2" s="9"/>
      <c r="N2" s="9" t="s">
        <v>306</v>
      </c>
      <c r="O2" s="9" t="s">
        <v>306</v>
      </c>
      <c r="P2" s="9"/>
      <c r="Q2" s="9"/>
      <c r="R2" s="9" t="s">
        <v>306</v>
      </c>
      <c r="S2" s="9">
        <v>65</v>
      </c>
      <c r="T2" s="9">
        <v>34</v>
      </c>
      <c r="U2" s="9" t="s">
        <v>308</v>
      </c>
      <c r="V2" s="9" t="s">
        <v>309</v>
      </c>
      <c r="W2" s="9" t="s">
        <v>310</v>
      </c>
      <c r="X2" s="10">
        <v>100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100</v>
      </c>
      <c r="AF2" s="10">
        <v>0</v>
      </c>
      <c r="AG2" s="10">
        <v>0</v>
      </c>
      <c r="AH2" s="10">
        <v>0</v>
      </c>
      <c r="AI2" s="9" t="s">
        <v>307</v>
      </c>
      <c r="AJ2" s="9">
        <v>10</v>
      </c>
      <c r="AK2" s="9">
        <v>0</v>
      </c>
      <c r="AL2" s="9">
        <v>0</v>
      </c>
      <c r="AM2" s="9">
        <v>70</v>
      </c>
      <c r="AN2" s="9">
        <v>20</v>
      </c>
      <c r="AO2" s="9">
        <v>95</v>
      </c>
      <c r="AP2" s="9">
        <v>5</v>
      </c>
      <c r="AQ2" s="9">
        <v>0</v>
      </c>
      <c r="AR2" s="9" t="s">
        <v>42</v>
      </c>
      <c r="AS2" s="9"/>
      <c r="AT2" s="9" t="s">
        <v>306</v>
      </c>
      <c r="AU2" s="9"/>
      <c r="AV2" s="9"/>
      <c r="AW2" s="9"/>
      <c r="AX2" s="9"/>
      <c r="AY2" s="9"/>
      <c r="AZ2" s="9"/>
      <c r="BA2" s="9"/>
      <c r="BB2" s="9"/>
      <c r="BC2" s="9" t="s">
        <v>311</v>
      </c>
      <c r="BD2" s="9" t="s">
        <v>307</v>
      </c>
      <c r="BE2" s="9" t="s">
        <v>54</v>
      </c>
      <c r="BF2" s="9" t="s">
        <v>306</v>
      </c>
      <c r="BG2" s="9"/>
      <c r="BH2" s="9"/>
      <c r="BI2" s="9"/>
      <c r="BJ2" s="9"/>
      <c r="BK2" s="9"/>
      <c r="BL2" s="9"/>
      <c r="BM2" s="9"/>
      <c r="BN2" s="9"/>
      <c r="BO2" s="9" t="s">
        <v>312</v>
      </c>
      <c r="BP2" s="9"/>
      <c r="BQ2" s="9"/>
      <c r="BR2" s="9" t="s">
        <v>306</v>
      </c>
      <c r="BS2" s="9"/>
      <c r="BT2" s="9"/>
      <c r="BU2" s="9"/>
      <c r="BV2" s="9"/>
      <c r="BW2" s="9" t="s">
        <v>306</v>
      </c>
      <c r="BX2" s="9"/>
      <c r="BY2" s="9" t="s">
        <v>306</v>
      </c>
      <c r="BZ2" s="9"/>
      <c r="CA2" s="9"/>
      <c r="CB2" s="9" t="s">
        <v>313</v>
      </c>
      <c r="CC2" s="9"/>
      <c r="CD2" s="9"/>
      <c r="CE2" s="9" t="s">
        <v>306</v>
      </c>
      <c r="CF2" s="9" t="s">
        <v>306</v>
      </c>
      <c r="CG2" s="9"/>
      <c r="CH2" s="9" t="s">
        <v>306</v>
      </c>
      <c r="CI2" s="9"/>
      <c r="CJ2" s="9"/>
      <c r="CK2" s="9"/>
      <c r="CL2" s="9" t="s">
        <v>314</v>
      </c>
      <c r="CM2" s="9" t="s">
        <v>315</v>
      </c>
      <c r="CN2" s="9" t="s">
        <v>306</v>
      </c>
      <c r="CO2" s="9" t="s">
        <v>316</v>
      </c>
      <c r="CP2" s="9"/>
      <c r="CQ2" s="9"/>
      <c r="CR2" s="9" t="s">
        <v>306</v>
      </c>
      <c r="CS2" s="9"/>
      <c r="CT2" s="9" t="s">
        <v>306</v>
      </c>
      <c r="CU2" s="9"/>
      <c r="CV2" s="9"/>
      <c r="CW2" s="9" t="s">
        <v>99</v>
      </c>
      <c r="CX2" s="9"/>
      <c r="CY2" s="9"/>
      <c r="CZ2" s="9"/>
      <c r="DA2" s="9"/>
      <c r="DB2" s="9"/>
      <c r="DC2" s="9" t="s">
        <v>306</v>
      </c>
      <c r="DD2" s="11">
        <v>2000</v>
      </c>
      <c r="DE2" s="11">
        <v>2000</v>
      </c>
      <c r="DF2" s="11">
        <v>2000</v>
      </c>
      <c r="DG2" s="12">
        <v>31</v>
      </c>
      <c r="DH2" s="9">
        <v>28</v>
      </c>
      <c r="DI2" s="9">
        <v>34</v>
      </c>
      <c r="DJ2" s="9">
        <v>95</v>
      </c>
      <c r="DK2" s="9">
        <v>0</v>
      </c>
      <c r="DL2" s="9">
        <v>0</v>
      </c>
      <c r="DM2" s="9">
        <v>0.2</v>
      </c>
      <c r="DN2" s="9">
        <v>4.8</v>
      </c>
      <c r="DO2" s="9">
        <v>60</v>
      </c>
      <c r="DP2" s="9">
        <v>45</v>
      </c>
      <c r="DQ2" s="9" t="s">
        <v>306</v>
      </c>
      <c r="DR2" s="9" t="s">
        <v>306</v>
      </c>
      <c r="DS2" s="9" t="s">
        <v>306</v>
      </c>
      <c r="DT2" s="10">
        <v>0.21369863013698631</v>
      </c>
      <c r="DU2" s="10">
        <v>6</v>
      </c>
      <c r="DV2" s="10">
        <f>DT2+DU2</f>
        <v>6.2136986301369861</v>
      </c>
      <c r="DW2" s="9">
        <v>71</v>
      </c>
      <c r="DX2" s="9">
        <v>9</v>
      </c>
      <c r="DY2" s="9">
        <v>19</v>
      </c>
      <c r="DZ2" s="9">
        <v>1</v>
      </c>
      <c r="EA2" s="9">
        <v>22</v>
      </c>
      <c r="EB2" s="9">
        <v>34</v>
      </c>
      <c r="EC2" s="9">
        <v>1</v>
      </c>
      <c r="ED2" s="9">
        <v>0</v>
      </c>
      <c r="EE2" s="9">
        <v>2</v>
      </c>
      <c r="EF2" s="9">
        <v>0</v>
      </c>
      <c r="EG2" s="9">
        <v>0</v>
      </c>
      <c r="EH2" s="9">
        <v>0</v>
      </c>
      <c r="EI2" s="9">
        <v>0</v>
      </c>
      <c r="EJ2" s="9">
        <v>100</v>
      </c>
      <c r="EK2" s="9">
        <v>0</v>
      </c>
      <c r="EL2" s="9">
        <v>0</v>
      </c>
      <c r="EM2" s="9">
        <v>0</v>
      </c>
      <c r="EN2" s="9">
        <v>0</v>
      </c>
      <c r="EO2" s="9">
        <v>2</v>
      </c>
      <c r="EP2" s="9">
        <v>7</v>
      </c>
      <c r="EQ2" s="9">
        <v>63</v>
      </c>
      <c r="ER2" s="9">
        <v>28</v>
      </c>
      <c r="ES2" s="9">
        <v>0</v>
      </c>
      <c r="ET2" s="9">
        <v>0</v>
      </c>
      <c r="EU2" s="9">
        <v>0</v>
      </c>
      <c r="EV2" s="9" t="s">
        <v>317</v>
      </c>
      <c r="EW2" s="9" t="s">
        <v>306</v>
      </c>
      <c r="EX2" s="9" t="s">
        <v>306</v>
      </c>
      <c r="EY2" s="9" t="s">
        <v>318</v>
      </c>
      <c r="EZ2" s="9" t="s">
        <v>306</v>
      </c>
      <c r="FA2" s="9" t="s">
        <v>306</v>
      </c>
      <c r="FB2" s="9" t="s">
        <v>319</v>
      </c>
      <c r="FC2" s="9">
        <v>3</v>
      </c>
      <c r="FD2" s="9">
        <v>3</v>
      </c>
      <c r="FE2" s="9" t="s">
        <v>320</v>
      </c>
      <c r="FF2" s="9" t="s">
        <v>321</v>
      </c>
      <c r="FG2" s="9" t="s">
        <v>322</v>
      </c>
      <c r="FH2" s="9" t="s">
        <v>306</v>
      </c>
      <c r="FI2" s="9"/>
      <c r="FJ2" s="9"/>
      <c r="FK2" s="9"/>
      <c r="FL2" s="9"/>
      <c r="FM2" s="9"/>
      <c r="FN2" s="9"/>
      <c r="FO2" s="9" t="s">
        <v>306</v>
      </c>
      <c r="FP2" s="9"/>
      <c r="FQ2" s="9" t="s">
        <v>172</v>
      </c>
      <c r="FR2" s="9"/>
      <c r="FS2" s="9"/>
      <c r="FT2" s="9"/>
      <c r="FU2" s="9"/>
      <c r="FV2" s="9"/>
      <c r="FW2" s="9"/>
      <c r="FX2" s="9" t="s">
        <v>306</v>
      </c>
      <c r="FY2" s="9"/>
      <c r="FZ2" s="9" t="s">
        <v>323</v>
      </c>
      <c r="GA2" s="9" t="s">
        <v>324</v>
      </c>
      <c r="GB2" s="9" t="s">
        <v>306</v>
      </c>
      <c r="GC2" s="9" t="s">
        <v>306</v>
      </c>
      <c r="GD2" s="9"/>
      <c r="GE2" s="9"/>
      <c r="GF2" s="9"/>
      <c r="GG2" s="9"/>
      <c r="GH2" s="9"/>
      <c r="GI2" s="9" t="s">
        <v>325</v>
      </c>
      <c r="GJ2" s="9" t="s">
        <v>306</v>
      </c>
      <c r="GK2" s="9">
        <v>2.4300000000000002</v>
      </c>
      <c r="GL2" s="9" t="s">
        <v>326</v>
      </c>
      <c r="GM2" s="9" t="s">
        <v>306</v>
      </c>
      <c r="GN2" s="9"/>
      <c r="GO2" s="9" t="s">
        <v>306</v>
      </c>
      <c r="GP2" s="9"/>
      <c r="GQ2" s="9"/>
      <c r="GR2" s="9" t="s">
        <v>306</v>
      </c>
      <c r="GS2" s="9">
        <v>150</v>
      </c>
      <c r="GT2" s="9" t="s">
        <v>327</v>
      </c>
      <c r="GU2" s="9"/>
      <c r="GV2" s="9"/>
      <c r="GW2" s="9"/>
      <c r="GX2" s="9" t="s">
        <v>306</v>
      </c>
      <c r="GY2" s="9"/>
      <c r="GZ2" s="9" t="s">
        <v>306</v>
      </c>
      <c r="HA2" s="9"/>
      <c r="HB2" s="9" t="s">
        <v>306</v>
      </c>
      <c r="HC2" s="9"/>
      <c r="HD2" s="9"/>
      <c r="HE2" s="9"/>
      <c r="HF2" s="9" t="s">
        <v>328</v>
      </c>
      <c r="HG2" s="9"/>
      <c r="HH2" s="9" t="s">
        <v>306</v>
      </c>
      <c r="HI2" s="9" t="s">
        <v>306</v>
      </c>
      <c r="HJ2" s="9"/>
      <c r="HK2" s="9"/>
      <c r="HL2" s="9"/>
      <c r="HM2" s="9"/>
      <c r="HN2" s="9"/>
      <c r="HO2" s="9"/>
      <c r="HP2" s="9"/>
      <c r="HQ2" s="9"/>
      <c r="HR2" s="9">
        <v>60</v>
      </c>
      <c r="HS2" s="9">
        <v>40</v>
      </c>
      <c r="HT2" s="9">
        <v>0</v>
      </c>
      <c r="HU2" s="9">
        <v>0</v>
      </c>
      <c r="HV2" s="9">
        <v>0</v>
      </c>
      <c r="HW2" s="9" t="s">
        <v>329</v>
      </c>
      <c r="HX2" s="9" t="s">
        <v>306</v>
      </c>
      <c r="HY2" s="9"/>
      <c r="HZ2" s="9"/>
      <c r="IA2" s="9"/>
      <c r="IB2" s="9" t="s">
        <v>306</v>
      </c>
      <c r="IC2" s="9"/>
      <c r="ID2" s="9" t="s">
        <v>306</v>
      </c>
      <c r="IE2" s="9" t="s">
        <v>306</v>
      </c>
      <c r="IF2" s="9" t="s">
        <v>306</v>
      </c>
      <c r="IG2" s="9"/>
      <c r="IH2" s="9" t="s">
        <v>330</v>
      </c>
      <c r="II2" s="9" t="s">
        <v>331</v>
      </c>
      <c r="IJ2" s="9" t="s">
        <v>332</v>
      </c>
      <c r="IK2" s="9"/>
      <c r="IL2" s="9" t="s">
        <v>306</v>
      </c>
      <c r="IM2" s="9" t="s">
        <v>306</v>
      </c>
      <c r="IN2" s="9" t="s">
        <v>306</v>
      </c>
      <c r="IO2" s="9"/>
      <c r="IP2" s="9"/>
      <c r="IQ2" s="9"/>
      <c r="IR2" s="9" t="s">
        <v>306</v>
      </c>
      <c r="IS2" s="9"/>
      <c r="IT2" s="9" t="s">
        <v>306</v>
      </c>
      <c r="IU2" s="9" t="s">
        <v>333</v>
      </c>
      <c r="IV2" s="9" t="s">
        <v>334</v>
      </c>
      <c r="IW2" s="9" t="s">
        <v>306</v>
      </c>
      <c r="IX2" s="9" t="s">
        <v>306</v>
      </c>
      <c r="IY2" s="9" t="s">
        <v>306</v>
      </c>
      <c r="IZ2" s="9" t="s">
        <v>306</v>
      </c>
      <c r="JA2" s="9"/>
      <c r="JB2" s="9">
        <v>1</v>
      </c>
      <c r="JC2" s="9">
        <v>3</v>
      </c>
      <c r="JD2" s="9">
        <v>110</v>
      </c>
      <c r="JE2" s="9">
        <v>27</v>
      </c>
      <c r="JF2" s="9">
        <v>16</v>
      </c>
      <c r="JG2" s="9">
        <v>15</v>
      </c>
      <c r="JH2" s="9">
        <v>10</v>
      </c>
      <c r="JI2" s="9" t="s">
        <v>335</v>
      </c>
      <c r="JJ2" s="9" t="s">
        <v>306</v>
      </c>
      <c r="JK2" s="9" t="s">
        <v>306</v>
      </c>
      <c r="JL2" s="9" t="s">
        <v>306</v>
      </c>
      <c r="JM2" s="9" t="s">
        <v>306</v>
      </c>
      <c r="JN2" s="9" t="s">
        <v>306</v>
      </c>
      <c r="JO2" s="9" t="s">
        <v>306</v>
      </c>
      <c r="JP2" s="9" t="s">
        <v>306</v>
      </c>
      <c r="JQ2" s="9" t="s">
        <v>306</v>
      </c>
      <c r="JR2" s="9" t="s">
        <v>306</v>
      </c>
      <c r="JS2" s="9" t="s">
        <v>306</v>
      </c>
      <c r="JT2" s="9" t="s">
        <v>336</v>
      </c>
      <c r="JU2" s="9" t="s">
        <v>306</v>
      </c>
      <c r="JV2" s="9" t="s">
        <v>306</v>
      </c>
      <c r="JW2" s="9" t="s">
        <v>306</v>
      </c>
      <c r="JX2" s="9" t="s">
        <v>306</v>
      </c>
      <c r="JY2" s="9"/>
      <c r="JZ2" s="9" t="s">
        <v>306</v>
      </c>
      <c r="KA2" s="9" t="s">
        <v>306</v>
      </c>
      <c r="KB2" s="9" t="s">
        <v>267</v>
      </c>
      <c r="KC2" s="9"/>
      <c r="KD2" s="9" t="s">
        <v>306</v>
      </c>
      <c r="KE2" s="9"/>
      <c r="KF2" s="9"/>
      <c r="KG2" s="9" t="s">
        <v>337</v>
      </c>
      <c r="KH2" s="9" t="s">
        <v>338</v>
      </c>
      <c r="KI2" s="9" t="s">
        <v>339</v>
      </c>
      <c r="KJ2" s="9" t="s">
        <v>306</v>
      </c>
      <c r="KK2" s="9" t="s">
        <v>278</v>
      </c>
      <c r="KL2" s="9"/>
      <c r="KM2" s="9"/>
      <c r="KN2" s="9"/>
      <c r="KO2" s="9" t="s">
        <v>306</v>
      </c>
      <c r="KP2" s="9"/>
      <c r="KQ2" s="9"/>
      <c r="KR2" s="9"/>
      <c r="KS2" s="9"/>
      <c r="KT2" s="9"/>
      <c r="KU2" s="9">
        <v>5</v>
      </c>
      <c r="KV2" s="9">
        <v>3.07</v>
      </c>
      <c r="KW2" s="9">
        <v>2.77</v>
      </c>
      <c r="KX2" s="9">
        <v>3.15</v>
      </c>
      <c r="KY2" s="9" t="s">
        <v>340</v>
      </c>
      <c r="KZ2" s="9"/>
      <c r="LA2" s="9" t="s">
        <v>306</v>
      </c>
      <c r="LB2" s="9" t="s">
        <v>306</v>
      </c>
      <c r="LC2" s="9" t="s">
        <v>306</v>
      </c>
      <c r="LD2" s="9"/>
      <c r="LE2" s="9"/>
      <c r="LF2" s="9"/>
      <c r="LG2" s="9" t="s">
        <v>341</v>
      </c>
      <c r="LH2" s="9" t="s">
        <v>341</v>
      </c>
      <c r="LI2" s="9" t="s">
        <v>341</v>
      </c>
      <c r="LJ2" s="9" t="s">
        <v>306</v>
      </c>
      <c r="LK2" s="9" t="s">
        <v>342</v>
      </c>
    </row>
    <row r="3" spans="1:323" x14ac:dyDescent="0.3">
      <c r="A3" s="8"/>
      <c r="B3" s="9" t="s">
        <v>300</v>
      </c>
      <c r="C3" s="9" t="s">
        <v>302</v>
      </c>
      <c r="D3" s="9" t="s">
        <v>631</v>
      </c>
      <c r="E3" s="9" t="s">
        <v>343</v>
      </c>
      <c r="F3" s="9" t="s">
        <v>303</v>
      </c>
      <c r="G3" s="9" t="s">
        <v>304</v>
      </c>
      <c r="H3" s="9" t="s">
        <v>304</v>
      </c>
      <c r="I3" s="9" t="s">
        <v>304</v>
      </c>
      <c r="J3" s="9" t="s">
        <v>344</v>
      </c>
      <c r="K3" s="9" t="s">
        <v>306</v>
      </c>
      <c r="L3" s="9" t="s">
        <v>306</v>
      </c>
      <c r="M3" s="9" t="s">
        <v>306</v>
      </c>
      <c r="N3" s="9" t="s">
        <v>306</v>
      </c>
      <c r="O3" s="9" t="s">
        <v>306</v>
      </c>
      <c r="P3" s="9" t="s">
        <v>306</v>
      </c>
      <c r="Q3" s="9" t="s">
        <v>306</v>
      </c>
      <c r="R3" s="9" t="s">
        <v>306</v>
      </c>
      <c r="S3" s="9">
        <v>62</v>
      </c>
      <c r="T3" s="9">
        <v>21</v>
      </c>
      <c r="U3" s="9" t="s">
        <v>308</v>
      </c>
      <c r="V3" s="9" t="s">
        <v>345</v>
      </c>
      <c r="W3" s="9" t="s">
        <v>346</v>
      </c>
      <c r="X3" s="10">
        <v>40</v>
      </c>
      <c r="Y3" s="10">
        <v>60</v>
      </c>
      <c r="Z3" s="10">
        <v>0</v>
      </c>
      <c r="AA3" s="10">
        <v>0</v>
      </c>
      <c r="AB3" s="10">
        <v>0</v>
      </c>
      <c r="AC3" s="10">
        <v>0</v>
      </c>
      <c r="AD3" s="10">
        <v>5</v>
      </c>
      <c r="AE3" s="10">
        <v>95</v>
      </c>
      <c r="AF3" s="10">
        <v>0</v>
      </c>
      <c r="AG3" s="10">
        <v>0</v>
      </c>
      <c r="AH3" s="10">
        <v>0</v>
      </c>
      <c r="AI3" s="9" t="s">
        <v>307</v>
      </c>
      <c r="AJ3" s="9">
        <v>5</v>
      </c>
      <c r="AK3" s="9">
        <v>5</v>
      </c>
      <c r="AL3" s="9">
        <v>30</v>
      </c>
      <c r="AM3" s="9">
        <v>60</v>
      </c>
      <c r="AN3" s="9">
        <v>0</v>
      </c>
      <c r="AO3" s="9">
        <v>50</v>
      </c>
      <c r="AP3" s="9">
        <v>50</v>
      </c>
      <c r="AQ3" s="9">
        <v>0</v>
      </c>
      <c r="AR3" s="9" t="s">
        <v>347</v>
      </c>
      <c r="AS3" s="9"/>
      <c r="AT3" s="9" t="s">
        <v>306</v>
      </c>
      <c r="AU3" s="9"/>
      <c r="AV3" s="9" t="s">
        <v>306</v>
      </c>
      <c r="AW3" s="9"/>
      <c r="AX3" s="9"/>
      <c r="AY3" s="9"/>
      <c r="AZ3" s="9"/>
      <c r="BA3" s="9"/>
      <c r="BB3" s="9"/>
      <c r="BC3" s="9" t="s">
        <v>311</v>
      </c>
      <c r="BD3" s="9" t="s">
        <v>307</v>
      </c>
      <c r="BE3" s="9" t="s">
        <v>348</v>
      </c>
      <c r="BF3" s="9" t="s">
        <v>306</v>
      </c>
      <c r="BG3" s="9"/>
      <c r="BH3" s="9" t="s">
        <v>306</v>
      </c>
      <c r="BI3" s="9"/>
      <c r="BJ3" s="9" t="s">
        <v>306</v>
      </c>
      <c r="BK3" s="9"/>
      <c r="BL3" s="9"/>
      <c r="BM3" s="9"/>
      <c r="BN3" s="9"/>
      <c r="BO3" s="9" t="s">
        <v>349</v>
      </c>
      <c r="BP3" s="9" t="s">
        <v>306</v>
      </c>
      <c r="BQ3" s="9"/>
      <c r="BR3" s="9"/>
      <c r="BS3" s="9"/>
      <c r="BT3" s="9"/>
      <c r="BU3" s="9" t="s">
        <v>306</v>
      </c>
      <c r="BV3" s="9"/>
      <c r="BW3" s="9" t="s">
        <v>306</v>
      </c>
      <c r="BX3" s="9"/>
      <c r="BY3" s="9"/>
      <c r="BZ3" s="9"/>
      <c r="CA3" s="9"/>
      <c r="CB3" s="9" t="s">
        <v>350</v>
      </c>
      <c r="CC3" s="9" t="s">
        <v>306</v>
      </c>
      <c r="CD3" s="9" t="s">
        <v>306</v>
      </c>
      <c r="CE3" s="9"/>
      <c r="CF3" s="9"/>
      <c r="CG3" s="9"/>
      <c r="CH3" s="9"/>
      <c r="CI3" s="9" t="s">
        <v>306</v>
      </c>
      <c r="CJ3" s="9"/>
      <c r="CK3" s="9"/>
      <c r="CL3" s="9" t="s">
        <v>62</v>
      </c>
      <c r="CM3" s="9" t="s">
        <v>351</v>
      </c>
      <c r="CN3" s="9" t="s">
        <v>306</v>
      </c>
      <c r="CO3" s="9" t="s">
        <v>316</v>
      </c>
      <c r="CP3" s="9"/>
      <c r="CQ3" s="9"/>
      <c r="CR3" s="9" t="s">
        <v>306</v>
      </c>
      <c r="CS3" s="9"/>
      <c r="CT3" s="9" t="s">
        <v>306</v>
      </c>
      <c r="CU3" s="9"/>
      <c r="CV3" s="9"/>
      <c r="CW3" s="9" t="s">
        <v>99</v>
      </c>
      <c r="CX3" s="9"/>
      <c r="CY3" s="9"/>
      <c r="CZ3" s="9"/>
      <c r="DA3" s="9"/>
      <c r="DB3" s="9"/>
      <c r="DC3" s="9" t="s">
        <v>306</v>
      </c>
      <c r="DD3" s="11">
        <v>2500</v>
      </c>
      <c r="DE3" s="11">
        <v>2500</v>
      </c>
      <c r="DF3" s="11">
        <v>2500</v>
      </c>
      <c r="DG3" s="12">
        <v>19</v>
      </c>
      <c r="DH3" s="9">
        <v>19</v>
      </c>
      <c r="DI3" s="9">
        <v>19</v>
      </c>
      <c r="DJ3" s="9">
        <v>94.5</v>
      </c>
      <c r="DK3" s="9">
        <v>0</v>
      </c>
      <c r="DL3" s="9">
        <v>0</v>
      </c>
      <c r="DM3" s="9">
        <v>0.5</v>
      </c>
      <c r="DN3" s="9">
        <v>5</v>
      </c>
      <c r="DO3" s="9">
        <v>170</v>
      </c>
      <c r="DP3" s="9">
        <v>40</v>
      </c>
      <c r="DQ3" s="9" t="s">
        <v>306</v>
      </c>
      <c r="DR3" s="9" t="s">
        <v>306</v>
      </c>
      <c r="DS3" s="9" t="s">
        <v>307</v>
      </c>
      <c r="DT3" s="10">
        <v>0.73972602739726023</v>
      </c>
      <c r="DU3" s="10">
        <v>6</v>
      </c>
      <c r="DV3" s="10">
        <f t="shared" ref="DV3:DV23" si="0">DT3+DU3</f>
        <v>6.7397260273972606</v>
      </c>
      <c r="DW3" s="9">
        <v>145</v>
      </c>
      <c r="DX3" s="9">
        <v>52</v>
      </c>
      <c r="DY3" s="9">
        <v>15</v>
      </c>
      <c r="DZ3" s="9">
        <v>6</v>
      </c>
      <c r="EA3" s="9">
        <v>46</v>
      </c>
      <c r="EB3" s="9">
        <v>114</v>
      </c>
      <c r="EC3" s="9">
        <v>0</v>
      </c>
      <c r="ED3" s="9">
        <v>0</v>
      </c>
      <c r="EE3" s="9">
        <v>4</v>
      </c>
      <c r="EF3" s="9">
        <v>0</v>
      </c>
      <c r="EG3" s="9">
        <v>0</v>
      </c>
      <c r="EH3" s="9">
        <v>40</v>
      </c>
      <c r="EI3" s="9">
        <v>0</v>
      </c>
      <c r="EJ3" s="9">
        <v>60</v>
      </c>
      <c r="EK3" s="9">
        <v>0</v>
      </c>
      <c r="EL3" s="9">
        <v>0</v>
      </c>
      <c r="EM3" s="9">
        <v>0</v>
      </c>
      <c r="EN3" s="9">
        <v>0</v>
      </c>
      <c r="EO3" s="9">
        <v>0</v>
      </c>
      <c r="EP3" s="9">
        <v>25</v>
      </c>
      <c r="EQ3" s="9">
        <v>25</v>
      </c>
      <c r="ER3" s="9">
        <v>50</v>
      </c>
      <c r="ES3" s="9">
        <v>0</v>
      </c>
      <c r="ET3" s="9">
        <v>0</v>
      </c>
      <c r="EU3" s="9">
        <v>0</v>
      </c>
      <c r="EV3" s="9" t="s">
        <v>317</v>
      </c>
      <c r="EW3" s="9" t="s">
        <v>306</v>
      </c>
      <c r="EX3" s="9" t="s">
        <v>306</v>
      </c>
      <c r="EY3" s="9" t="s">
        <v>318</v>
      </c>
      <c r="EZ3" s="9" t="s">
        <v>306</v>
      </c>
      <c r="FA3" s="9" t="s">
        <v>306</v>
      </c>
      <c r="FB3" s="9" t="s">
        <v>319</v>
      </c>
      <c r="FC3" s="9">
        <v>2</v>
      </c>
      <c r="FD3" s="9">
        <v>2</v>
      </c>
      <c r="FE3" s="9" t="s">
        <v>320</v>
      </c>
      <c r="FF3" s="9" t="s">
        <v>352</v>
      </c>
      <c r="FG3" s="9" t="s">
        <v>322</v>
      </c>
      <c r="FH3" s="9" t="s">
        <v>306</v>
      </c>
      <c r="FI3" s="9"/>
      <c r="FJ3" s="9"/>
      <c r="FK3" s="9"/>
      <c r="FL3" s="9"/>
      <c r="FM3" s="9"/>
      <c r="FN3" s="9"/>
      <c r="FO3" s="9" t="s">
        <v>306</v>
      </c>
      <c r="FP3" s="9"/>
      <c r="FQ3" s="9" t="s">
        <v>353</v>
      </c>
      <c r="FR3" s="9"/>
      <c r="FS3" s="9"/>
      <c r="FT3" s="9"/>
      <c r="FU3" s="9" t="s">
        <v>306</v>
      </c>
      <c r="FV3" s="9" t="s">
        <v>306</v>
      </c>
      <c r="FW3" s="9" t="s">
        <v>306</v>
      </c>
      <c r="FX3" s="9"/>
      <c r="FY3" s="9"/>
      <c r="FZ3" s="9" t="s">
        <v>354</v>
      </c>
      <c r="GA3" s="9" t="s">
        <v>355</v>
      </c>
      <c r="GB3" s="9" t="s">
        <v>306</v>
      </c>
      <c r="GC3" s="9" t="s">
        <v>306</v>
      </c>
      <c r="GD3" s="9"/>
      <c r="GE3" s="9" t="s">
        <v>306</v>
      </c>
      <c r="GF3" s="9"/>
      <c r="GG3" s="9"/>
      <c r="GH3" s="9"/>
      <c r="GI3" s="9" t="s">
        <v>325</v>
      </c>
      <c r="GJ3" s="9" t="s">
        <v>306</v>
      </c>
      <c r="GK3" s="9">
        <v>2.4</v>
      </c>
      <c r="GL3" s="9" t="s">
        <v>356</v>
      </c>
      <c r="GM3" s="9" t="s">
        <v>306</v>
      </c>
      <c r="GN3" s="9"/>
      <c r="GO3" s="9"/>
      <c r="GP3" s="9" t="s">
        <v>306</v>
      </c>
      <c r="GQ3" s="9"/>
      <c r="GR3" s="9" t="s">
        <v>306</v>
      </c>
      <c r="GS3" s="9">
        <v>216</v>
      </c>
      <c r="GT3" s="9" t="s">
        <v>357</v>
      </c>
      <c r="GU3" s="9"/>
      <c r="GV3" s="9"/>
      <c r="GW3" s="9"/>
      <c r="GX3" s="9"/>
      <c r="GY3" s="9" t="s">
        <v>306</v>
      </c>
      <c r="GZ3" s="9"/>
      <c r="HA3" s="9" t="s">
        <v>306</v>
      </c>
      <c r="HB3" s="9"/>
      <c r="HC3" s="9"/>
      <c r="HD3" s="9" t="s">
        <v>306</v>
      </c>
      <c r="HE3" s="9"/>
      <c r="HF3" s="9" t="s">
        <v>358</v>
      </c>
      <c r="HG3" s="9"/>
      <c r="HH3" s="9"/>
      <c r="HI3" s="9" t="s">
        <v>306</v>
      </c>
      <c r="HJ3" s="9"/>
      <c r="HK3" s="9"/>
      <c r="HL3" s="9"/>
      <c r="HM3" s="9"/>
      <c r="HN3" s="9"/>
      <c r="HO3" s="9" t="s">
        <v>306</v>
      </c>
      <c r="HP3" s="9"/>
      <c r="HQ3" s="9"/>
      <c r="HR3" s="9">
        <v>0</v>
      </c>
      <c r="HS3" s="9">
        <v>100</v>
      </c>
      <c r="HT3" s="9">
        <v>0</v>
      </c>
      <c r="HU3" s="9">
        <v>0</v>
      </c>
      <c r="HV3" s="9">
        <v>0</v>
      </c>
      <c r="HW3" s="9" t="s">
        <v>359</v>
      </c>
      <c r="HX3" s="9" t="s">
        <v>306</v>
      </c>
      <c r="HY3" s="9"/>
      <c r="HZ3" s="9"/>
      <c r="IA3" s="9"/>
      <c r="IB3" s="9" t="s">
        <v>306</v>
      </c>
      <c r="IC3" s="9"/>
      <c r="ID3" s="9"/>
      <c r="IE3" s="9" t="s">
        <v>306</v>
      </c>
      <c r="IF3" s="9"/>
      <c r="IG3" s="9"/>
      <c r="IH3" s="9" t="s">
        <v>330</v>
      </c>
      <c r="II3" s="9" t="s">
        <v>331</v>
      </c>
      <c r="IJ3" s="9" t="s">
        <v>360</v>
      </c>
      <c r="IK3" s="9"/>
      <c r="IL3" s="9"/>
      <c r="IM3" s="9" t="s">
        <v>306</v>
      </c>
      <c r="IN3" s="9" t="s">
        <v>306</v>
      </c>
      <c r="IO3" s="9" t="s">
        <v>306</v>
      </c>
      <c r="IP3" s="9" t="s">
        <v>306</v>
      </c>
      <c r="IQ3" s="9"/>
      <c r="IR3" s="9" t="s">
        <v>306</v>
      </c>
      <c r="IS3" s="9" t="s">
        <v>306</v>
      </c>
      <c r="IT3" s="9" t="s">
        <v>306</v>
      </c>
      <c r="IU3" s="9" t="s">
        <v>333</v>
      </c>
      <c r="IV3" s="9" t="s">
        <v>361</v>
      </c>
      <c r="IW3" s="9" t="s">
        <v>306</v>
      </c>
      <c r="IX3" s="9" t="s">
        <v>306</v>
      </c>
      <c r="IY3" s="9" t="s">
        <v>306</v>
      </c>
      <c r="IZ3" s="9" t="s">
        <v>306</v>
      </c>
      <c r="JA3" s="9" t="s">
        <v>306</v>
      </c>
      <c r="JB3" s="9">
        <v>1</v>
      </c>
      <c r="JC3" s="9">
        <v>3</v>
      </c>
      <c r="JD3" s="9">
        <v>100</v>
      </c>
      <c r="JE3" s="9">
        <v>24</v>
      </c>
      <c r="JF3" s="9">
        <v>12</v>
      </c>
      <c r="JG3" s="9">
        <v>5</v>
      </c>
      <c r="JH3" s="9">
        <v>2</v>
      </c>
      <c r="JI3" s="9" t="s">
        <v>335</v>
      </c>
      <c r="JJ3" s="9" t="s">
        <v>306</v>
      </c>
      <c r="JK3" s="9" t="s">
        <v>306</v>
      </c>
      <c r="JL3" s="9" t="s">
        <v>306</v>
      </c>
      <c r="JM3" s="9" t="s">
        <v>306</v>
      </c>
      <c r="JN3" s="9" t="s">
        <v>306</v>
      </c>
      <c r="JO3" s="9" t="s">
        <v>306</v>
      </c>
      <c r="JP3" s="9" t="s">
        <v>306</v>
      </c>
      <c r="JQ3" s="9" t="s">
        <v>306</v>
      </c>
      <c r="JR3" s="9" t="s">
        <v>306</v>
      </c>
      <c r="JS3" s="9" t="s">
        <v>306</v>
      </c>
      <c r="JT3" s="9" t="s">
        <v>362</v>
      </c>
      <c r="JU3" s="9" t="s">
        <v>306</v>
      </c>
      <c r="JV3" s="9" t="s">
        <v>306</v>
      </c>
      <c r="JW3" s="9" t="s">
        <v>306</v>
      </c>
      <c r="JX3" s="9"/>
      <c r="JY3" s="9"/>
      <c r="JZ3" s="9" t="s">
        <v>306</v>
      </c>
      <c r="KA3" s="9" t="s">
        <v>306</v>
      </c>
      <c r="KB3" s="9" t="s">
        <v>363</v>
      </c>
      <c r="KC3" s="9" t="s">
        <v>306</v>
      </c>
      <c r="KD3" s="9" t="s">
        <v>306</v>
      </c>
      <c r="KE3" s="9"/>
      <c r="KF3" s="9"/>
      <c r="KG3" s="9" t="s">
        <v>337</v>
      </c>
      <c r="KH3" s="9" t="s">
        <v>364</v>
      </c>
      <c r="KI3" s="9" t="s">
        <v>339</v>
      </c>
      <c r="KJ3" s="9" t="s">
        <v>306</v>
      </c>
      <c r="KK3" s="9" t="s">
        <v>278</v>
      </c>
      <c r="KL3" s="9"/>
      <c r="KM3" s="9"/>
      <c r="KN3" s="9"/>
      <c r="KO3" s="9" t="s">
        <v>306</v>
      </c>
      <c r="KP3" s="9"/>
      <c r="KQ3" s="9"/>
      <c r="KR3" s="9"/>
      <c r="KS3" s="9"/>
      <c r="KT3" s="9"/>
      <c r="KU3" s="9">
        <v>3</v>
      </c>
      <c r="KV3" s="9">
        <v>2.75</v>
      </c>
      <c r="KW3" s="9">
        <v>2.75</v>
      </c>
      <c r="KX3" s="9">
        <v>2.75</v>
      </c>
      <c r="KY3" s="9" t="s">
        <v>365</v>
      </c>
      <c r="KZ3" s="9" t="s">
        <v>306</v>
      </c>
      <c r="LA3" s="9" t="s">
        <v>306</v>
      </c>
      <c r="LB3" s="9" t="s">
        <v>306</v>
      </c>
      <c r="LC3" s="9" t="s">
        <v>306</v>
      </c>
      <c r="LD3" s="9" t="s">
        <v>306</v>
      </c>
      <c r="LE3" s="9"/>
      <c r="LF3" s="9"/>
      <c r="LG3" s="9" t="s">
        <v>341</v>
      </c>
      <c r="LH3" s="9" t="s">
        <v>341</v>
      </c>
      <c r="LI3" s="9" t="s">
        <v>341</v>
      </c>
      <c r="LJ3" s="9" t="s">
        <v>306</v>
      </c>
      <c r="LK3" s="9" t="s">
        <v>342</v>
      </c>
    </row>
    <row r="4" spans="1:323" x14ac:dyDescent="0.3">
      <c r="A4" s="8"/>
      <c r="B4" s="9" t="s">
        <v>366</v>
      </c>
      <c r="C4" s="9" t="s">
        <v>367</v>
      </c>
      <c r="D4" s="9" t="s">
        <v>632</v>
      </c>
      <c r="E4" s="9" t="s">
        <v>343</v>
      </c>
      <c r="F4" s="9" t="s">
        <v>368</v>
      </c>
      <c r="G4" s="9" t="s">
        <v>304</v>
      </c>
      <c r="H4" s="9" t="s">
        <v>369</v>
      </c>
      <c r="I4" s="9" t="s">
        <v>370</v>
      </c>
      <c r="J4" s="9" t="s">
        <v>371</v>
      </c>
      <c r="K4" s="9" t="s">
        <v>306</v>
      </c>
      <c r="L4" s="9" t="s">
        <v>306</v>
      </c>
      <c r="M4" s="9" t="s">
        <v>306</v>
      </c>
      <c r="N4" s="9" t="s">
        <v>306</v>
      </c>
      <c r="O4" s="9" t="s">
        <v>306</v>
      </c>
      <c r="P4" s="9" t="s">
        <v>306</v>
      </c>
      <c r="Q4" s="9"/>
      <c r="R4" s="9" t="s">
        <v>306</v>
      </c>
      <c r="S4" s="9">
        <v>43</v>
      </c>
      <c r="T4" s="9">
        <v>20</v>
      </c>
      <c r="U4" s="9" t="s">
        <v>308</v>
      </c>
      <c r="V4" s="9" t="s">
        <v>372</v>
      </c>
      <c r="W4" s="9" t="s">
        <v>346</v>
      </c>
      <c r="X4" s="10">
        <v>50</v>
      </c>
      <c r="Y4" s="10">
        <v>50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100</v>
      </c>
      <c r="AF4" s="10">
        <v>0</v>
      </c>
      <c r="AG4" s="10">
        <v>0</v>
      </c>
      <c r="AH4" s="10">
        <v>0</v>
      </c>
      <c r="AI4" s="9" t="s">
        <v>306</v>
      </c>
      <c r="AJ4" s="9">
        <v>95</v>
      </c>
      <c r="AK4" s="9">
        <v>0</v>
      </c>
      <c r="AL4" s="9">
        <v>0</v>
      </c>
      <c r="AM4" s="9">
        <v>0</v>
      </c>
      <c r="AN4" s="9">
        <v>5</v>
      </c>
      <c r="AO4" s="9">
        <v>90</v>
      </c>
      <c r="AP4" s="9">
        <v>10</v>
      </c>
      <c r="AQ4" s="9">
        <v>0</v>
      </c>
      <c r="AR4" s="9" t="s">
        <v>373</v>
      </c>
      <c r="AS4" s="9" t="s">
        <v>306</v>
      </c>
      <c r="AT4" s="9"/>
      <c r="AU4" s="9" t="s">
        <v>306</v>
      </c>
      <c r="AV4" s="9"/>
      <c r="AW4" s="9"/>
      <c r="AX4" s="9"/>
      <c r="AY4" s="9"/>
      <c r="AZ4" s="9"/>
      <c r="BA4" s="9"/>
      <c r="BB4" s="9"/>
      <c r="BC4" s="9" t="s">
        <v>311</v>
      </c>
      <c r="BD4" s="9" t="s">
        <v>306</v>
      </c>
      <c r="BE4" s="9" t="s">
        <v>374</v>
      </c>
      <c r="BF4" s="9" t="s">
        <v>306</v>
      </c>
      <c r="BG4" s="9"/>
      <c r="BH4" s="9" t="s">
        <v>306</v>
      </c>
      <c r="BI4" s="9"/>
      <c r="BJ4" s="9"/>
      <c r="BK4" s="9"/>
      <c r="BL4" s="9"/>
      <c r="BM4" s="9" t="s">
        <v>306</v>
      </c>
      <c r="BN4" s="9"/>
      <c r="BO4" s="9" t="s">
        <v>64</v>
      </c>
      <c r="BP4" s="9" t="s">
        <v>306</v>
      </c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 t="s">
        <v>375</v>
      </c>
      <c r="CC4" s="9" t="s">
        <v>306</v>
      </c>
      <c r="CD4" s="9"/>
      <c r="CE4" s="9"/>
      <c r="CF4" s="9"/>
      <c r="CG4" s="9"/>
      <c r="CH4" s="9"/>
      <c r="CI4" s="9" t="s">
        <v>306</v>
      </c>
      <c r="CJ4" s="9"/>
      <c r="CK4" s="9"/>
      <c r="CL4" s="9" t="s">
        <v>376</v>
      </c>
      <c r="CM4" s="9" t="s">
        <v>315</v>
      </c>
      <c r="CN4" s="9" t="s">
        <v>306</v>
      </c>
      <c r="CO4" s="9" t="s">
        <v>43</v>
      </c>
      <c r="CP4" s="9" t="s">
        <v>306</v>
      </c>
      <c r="CQ4" s="9"/>
      <c r="CR4" s="9"/>
      <c r="CS4" s="9"/>
      <c r="CT4" s="9"/>
      <c r="CU4" s="9"/>
      <c r="CV4" s="9"/>
      <c r="CW4" s="9" t="s">
        <v>99</v>
      </c>
      <c r="CX4" s="9"/>
      <c r="CY4" s="9"/>
      <c r="CZ4" s="9"/>
      <c r="DA4" s="9"/>
      <c r="DB4" s="9"/>
      <c r="DC4" s="9" t="s">
        <v>306</v>
      </c>
      <c r="DD4" s="11">
        <v>500</v>
      </c>
      <c r="DE4" s="11">
        <v>500</v>
      </c>
      <c r="DF4" s="11">
        <v>500</v>
      </c>
      <c r="DG4" s="12">
        <v>22</v>
      </c>
      <c r="DH4" s="9">
        <v>22</v>
      </c>
      <c r="DI4" s="9">
        <v>22</v>
      </c>
      <c r="DJ4" s="9">
        <v>100</v>
      </c>
      <c r="DK4" s="9">
        <v>0</v>
      </c>
      <c r="DL4" s="9">
        <v>0</v>
      </c>
      <c r="DM4" s="9">
        <v>0</v>
      </c>
      <c r="DN4" s="9">
        <v>0</v>
      </c>
      <c r="DO4" s="9">
        <v>34</v>
      </c>
      <c r="DP4" s="9">
        <v>15</v>
      </c>
      <c r="DQ4" s="9" t="s">
        <v>306</v>
      </c>
      <c r="DR4" s="9" t="s">
        <v>306</v>
      </c>
      <c r="DS4" s="9" t="s">
        <v>307</v>
      </c>
      <c r="DT4" s="10">
        <v>3.0575342465753423</v>
      </c>
      <c r="DU4" s="10">
        <v>1</v>
      </c>
      <c r="DV4" s="10">
        <f t="shared" si="0"/>
        <v>4.0575342465753419</v>
      </c>
      <c r="DW4" s="9">
        <v>22</v>
      </c>
      <c r="DX4" s="9">
        <v>8</v>
      </c>
      <c r="DY4" s="9">
        <v>4</v>
      </c>
      <c r="DZ4" s="9">
        <v>1</v>
      </c>
      <c r="EA4" s="9">
        <v>20</v>
      </c>
      <c r="EB4" s="9">
        <v>2</v>
      </c>
      <c r="EC4" s="9">
        <v>0</v>
      </c>
      <c r="ED4" s="9">
        <v>0</v>
      </c>
      <c r="EE4" s="9">
        <v>1</v>
      </c>
      <c r="EF4" s="9">
        <v>0</v>
      </c>
      <c r="EG4" s="9">
        <v>0</v>
      </c>
      <c r="EH4" s="9">
        <v>0</v>
      </c>
      <c r="EI4" s="9">
        <v>0</v>
      </c>
      <c r="EJ4" s="9">
        <v>100</v>
      </c>
      <c r="EK4" s="9">
        <v>0</v>
      </c>
      <c r="EL4" s="9">
        <v>0</v>
      </c>
      <c r="EM4" s="9">
        <v>0</v>
      </c>
      <c r="EN4" s="9">
        <v>0</v>
      </c>
      <c r="EO4" s="9">
        <v>0</v>
      </c>
      <c r="EP4" s="9">
        <v>0</v>
      </c>
      <c r="EQ4" s="9">
        <v>100</v>
      </c>
      <c r="ER4" s="9">
        <v>0</v>
      </c>
      <c r="ES4" s="9">
        <v>0</v>
      </c>
      <c r="ET4" s="9">
        <v>0</v>
      </c>
      <c r="EU4" s="9">
        <v>0</v>
      </c>
      <c r="EV4" s="9" t="s">
        <v>317</v>
      </c>
      <c r="EW4" s="9" t="s">
        <v>306</v>
      </c>
      <c r="EX4" s="9" t="s">
        <v>306</v>
      </c>
      <c r="EY4" s="9" t="s">
        <v>318</v>
      </c>
      <c r="EZ4" s="9" t="s">
        <v>306</v>
      </c>
      <c r="FA4" s="9" t="s">
        <v>306</v>
      </c>
      <c r="FB4" s="9" t="s">
        <v>319</v>
      </c>
      <c r="FC4" s="9">
        <v>2</v>
      </c>
      <c r="FD4" s="9">
        <v>2</v>
      </c>
      <c r="FE4" s="9" t="s">
        <v>377</v>
      </c>
      <c r="FF4" s="9" t="s">
        <v>321</v>
      </c>
      <c r="FG4" s="9" t="s">
        <v>156</v>
      </c>
      <c r="FH4" s="9" t="s">
        <v>306</v>
      </c>
      <c r="FI4" s="9"/>
      <c r="FJ4" s="9"/>
      <c r="FK4" s="9"/>
      <c r="FL4" s="9"/>
      <c r="FM4" s="9"/>
      <c r="FN4" s="9"/>
      <c r="FO4" s="9"/>
      <c r="FP4" s="9"/>
      <c r="FQ4" s="9" t="s">
        <v>172</v>
      </c>
      <c r="FR4" s="9"/>
      <c r="FS4" s="9"/>
      <c r="FT4" s="9"/>
      <c r="FU4" s="9"/>
      <c r="FV4" s="9"/>
      <c r="FW4" s="9"/>
      <c r="FX4" s="9" t="s">
        <v>306</v>
      </c>
      <c r="FY4" s="9"/>
      <c r="FZ4" s="9" t="s">
        <v>378</v>
      </c>
      <c r="GA4" s="9" t="s">
        <v>379</v>
      </c>
      <c r="GB4" s="9" t="s">
        <v>306</v>
      </c>
      <c r="GC4" s="9" t="s">
        <v>306</v>
      </c>
      <c r="GD4" s="9" t="s">
        <v>306</v>
      </c>
      <c r="GE4" s="9" t="s">
        <v>306</v>
      </c>
      <c r="GF4" s="9"/>
      <c r="GG4" s="9"/>
      <c r="GH4" s="9"/>
      <c r="GI4" s="9" t="s">
        <v>325</v>
      </c>
      <c r="GJ4" s="9" t="s">
        <v>306</v>
      </c>
      <c r="GK4" s="9">
        <v>2</v>
      </c>
      <c r="GL4" s="9" t="s">
        <v>380</v>
      </c>
      <c r="GM4" s="9" t="s">
        <v>306</v>
      </c>
      <c r="GN4" s="9" t="s">
        <v>306</v>
      </c>
      <c r="GO4" s="9"/>
      <c r="GP4" s="9"/>
      <c r="GQ4" s="9"/>
      <c r="GR4" s="9"/>
      <c r="GS4" s="9">
        <v>24</v>
      </c>
      <c r="GT4" s="9" t="s">
        <v>381</v>
      </c>
      <c r="GU4" s="9" t="s">
        <v>306</v>
      </c>
      <c r="GV4" s="9"/>
      <c r="GW4" s="9"/>
      <c r="GX4" s="9" t="s">
        <v>306</v>
      </c>
      <c r="GY4" s="9" t="s">
        <v>306</v>
      </c>
      <c r="GZ4" s="9"/>
      <c r="HA4" s="9"/>
      <c r="HB4" s="9"/>
      <c r="HC4" s="9"/>
      <c r="HD4" s="9"/>
      <c r="HE4" s="9"/>
      <c r="HF4" s="9" t="s">
        <v>62</v>
      </c>
      <c r="HG4" s="9"/>
      <c r="HH4" s="9"/>
      <c r="HI4" s="9"/>
      <c r="HJ4" s="9"/>
      <c r="HK4" s="9"/>
      <c r="HL4" s="9"/>
      <c r="HM4" s="9"/>
      <c r="HN4" s="9"/>
      <c r="HO4" s="9"/>
      <c r="HP4" s="9"/>
      <c r="HQ4" s="9" t="s">
        <v>306</v>
      </c>
      <c r="HR4" s="9">
        <v>0</v>
      </c>
      <c r="HS4" s="9">
        <v>100</v>
      </c>
      <c r="HT4" s="9">
        <v>0</v>
      </c>
      <c r="HU4" s="9">
        <v>0</v>
      </c>
      <c r="HV4" s="9">
        <v>0</v>
      </c>
      <c r="HW4" s="9" t="s">
        <v>382</v>
      </c>
      <c r="HX4" s="9" t="s">
        <v>306</v>
      </c>
      <c r="HY4" s="9"/>
      <c r="HZ4" s="9" t="s">
        <v>306</v>
      </c>
      <c r="IA4" s="9"/>
      <c r="IB4" s="9" t="s">
        <v>306</v>
      </c>
      <c r="IC4" s="9"/>
      <c r="ID4" s="9"/>
      <c r="IE4" s="9" t="s">
        <v>306</v>
      </c>
      <c r="IF4" s="9"/>
      <c r="IG4" s="9"/>
      <c r="IH4" s="9" t="s">
        <v>330</v>
      </c>
      <c r="II4" s="9" t="s">
        <v>383</v>
      </c>
      <c r="IJ4" s="9" t="s">
        <v>384</v>
      </c>
      <c r="IK4" s="9" t="s">
        <v>306</v>
      </c>
      <c r="IL4" s="9"/>
      <c r="IM4" s="9" t="s">
        <v>306</v>
      </c>
      <c r="IN4" s="9"/>
      <c r="IO4" s="9" t="s">
        <v>306</v>
      </c>
      <c r="IP4" s="9" t="s">
        <v>306</v>
      </c>
      <c r="IQ4" s="9" t="s">
        <v>306</v>
      </c>
      <c r="IR4" s="9" t="s">
        <v>306</v>
      </c>
      <c r="IS4" s="9" t="s">
        <v>306</v>
      </c>
      <c r="IT4" s="9" t="s">
        <v>306</v>
      </c>
      <c r="IU4" s="9" t="s">
        <v>385</v>
      </c>
      <c r="IV4" s="9" t="s">
        <v>386</v>
      </c>
      <c r="IW4" s="9" t="s">
        <v>306</v>
      </c>
      <c r="IX4" s="9" t="s">
        <v>306</v>
      </c>
      <c r="IY4" s="9" t="s">
        <v>306</v>
      </c>
      <c r="IZ4" s="9"/>
      <c r="JA4" s="9"/>
      <c r="JB4" s="9">
        <v>0</v>
      </c>
      <c r="JC4" s="9">
        <v>3</v>
      </c>
      <c r="JD4" s="9">
        <v>100</v>
      </c>
      <c r="JE4" s="9">
        <v>26</v>
      </c>
      <c r="JF4" s="9">
        <v>13</v>
      </c>
      <c r="JG4" s="9">
        <v>0</v>
      </c>
      <c r="JH4" s="9">
        <v>2</v>
      </c>
      <c r="JI4" s="9" t="s">
        <v>335</v>
      </c>
      <c r="JJ4" s="9" t="s">
        <v>306</v>
      </c>
      <c r="JK4" s="9" t="s">
        <v>306</v>
      </c>
      <c r="JL4" s="9" t="s">
        <v>306</v>
      </c>
      <c r="JM4" s="9" t="s">
        <v>306</v>
      </c>
      <c r="JN4" s="9" t="s">
        <v>306</v>
      </c>
      <c r="JO4" s="9" t="s">
        <v>306</v>
      </c>
      <c r="JP4" s="9" t="s">
        <v>306</v>
      </c>
      <c r="JQ4" s="9" t="s">
        <v>306</v>
      </c>
      <c r="JR4" s="9" t="s">
        <v>306</v>
      </c>
      <c r="JS4" s="9" t="s">
        <v>306</v>
      </c>
      <c r="JT4" s="9" t="s">
        <v>387</v>
      </c>
      <c r="JU4" s="9"/>
      <c r="JV4" s="9" t="s">
        <v>306</v>
      </c>
      <c r="JW4" s="9" t="s">
        <v>306</v>
      </c>
      <c r="JX4" s="9" t="s">
        <v>306</v>
      </c>
      <c r="JY4" s="9"/>
      <c r="JZ4" s="9"/>
      <c r="KA4" s="9"/>
      <c r="KB4" s="9" t="s">
        <v>363</v>
      </c>
      <c r="KC4" s="9" t="s">
        <v>306</v>
      </c>
      <c r="KD4" s="9" t="s">
        <v>306</v>
      </c>
      <c r="KE4" s="9"/>
      <c r="KF4" s="9"/>
      <c r="KG4" s="9" t="s">
        <v>337</v>
      </c>
      <c r="KH4" s="9" t="s">
        <v>338</v>
      </c>
      <c r="KI4" s="9" t="s">
        <v>339</v>
      </c>
      <c r="KJ4" s="9" t="s">
        <v>306</v>
      </c>
      <c r="KK4" s="9" t="s">
        <v>278</v>
      </c>
      <c r="KL4" s="9"/>
      <c r="KM4" s="9"/>
      <c r="KN4" s="9"/>
      <c r="KO4" s="9" t="s">
        <v>306</v>
      </c>
      <c r="KP4" s="9"/>
      <c r="KQ4" s="9"/>
      <c r="KR4" s="9"/>
      <c r="KS4" s="9"/>
      <c r="KT4" s="9"/>
      <c r="KU4" s="9">
        <v>5</v>
      </c>
      <c r="KV4" s="9">
        <v>2.8</v>
      </c>
      <c r="KW4" s="9">
        <v>1.8</v>
      </c>
      <c r="KX4" s="9">
        <v>3</v>
      </c>
      <c r="KY4" s="9" t="s">
        <v>365</v>
      </c>
      <c r="KZ4" s="9" t="s">
        <v>306</v>
      </c>
      <c r="LA4" s="9" t="s">
        <v>306</v>
      </c>
      <c r="LB4" s="9" t="s">
        <v>306</v>
      </c>
      <c r="LC4" s="9" t="s">
        <v>306</v>
      </c>
      <c r="LD4" s="9" t="s">
        <v>306</v>
      </c>
      <c r="LE4" s="9"/>
      <c r="LF4" s="9"/>
      <c r="LG4" s="9" t="s">
        <v>341</v>
      </c>
      <c r="LH4" s="9" t="s">
        <v>341</v>
      </c>
      <c r="LI4" s="9" t="s">
        <v>341</v>
      </c>
      <c r="LJ4" s="9" t="s">
        <v>306</v>
      </c>
      <c r="LK4" s="9" t="s">
        <v>342</v>
      </c>
    </row>
    <row r="5" spans="1:323" x14ac:dyDescent="0.3">
      <c r="A5" s="8"/>
      <c r="B5" s="9" t="s">
        <v>366</v>
      </c>
      <c r="C5" s="9" t="s">
        <v>367</v>
      </c>
      <c r="D5" s="9" t="s">
        <v>633</v>
      </c>
      <c r="E5" s="9" t="s">
        <v>343</v>
      </c>
      <c r="F5" s="9" t="s">
        <v>368</v>
      </c>
      <c r="G5" s="9" t="s">
        <v>304</v>
      </c>
      <c r="H5" s="9" t="s">
        <v>369</v>
      </c>
      <c r="I5" s="9" t="s">
        <v>321</v>
      </c>
      <c r="J5" s="9" t="s">
        <v>371</v>
      </c>
      <c r="K5" s="9" t="s">
        <v>306</v>
      </c>
      <c r="L5" s="9" t="s">
        <v>306</v>
      </c>
      <c r="M5" s="9" t="s">
        <v>306</v>
      </c>
      <c r="N5" s="9" t="s">
        <v>306</v>
      </c>
      <c r="O5" s="9" t="s">
        <v>306</v>
      </c>
      <c r="P5" s="9" t="s">
        <v>306</v>
      </c>
      <c r="Q5" s="9"/>
      <c r="R5" s="9" t="s">
        <v>306</v>
      </c>
      <c r="S5" s="9">
        <v>27</v>
      </c>
      <c r="T5" s="9">
        <v>7</v>
      </c>
      <c r="U5" s="9" t="s">
        <v>308</v>
      </c>
      <c r="V5" s="9" t="s">
        <v>372</v>
      </c>
      <c r="W5" s="9" t="s">
        <v>310</v>
      </c>
      <c r="X5" s="10">
        <v>100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100</v>
      </c>
      <c r="AE5" s="10">
        <v>0</v>
      </c>
      <c r="AF5" s="10">
        <v>0</v>
      </c>
      <c r="AG5" s="10">
        <v>0</v>
      </c>
      <c r="AH5" s="10">
        <v>0</v>
      </c>
      <c r="AI5" s="9" t="s">
        <v>306</v>
      </c>
      <c r="AJ5" s="9">
        <v>50</v>
      </c>
      <c r="AK5" s="9">
        <v>50</v>
      </c>
      <c r="AL5" s="9">
        <v>0</v>
      </c>
      <c r="AM5" s="9">
        <v>0</v>
      </c>
      <c r="AN5" s="9">
        <v>0</v>
      </c>
      <c r="AO5" s="9">
        <v>60</v>
      </c>
      <c r="AP5" s="9">
        <v>40</v>
      </c>
      <c r="AQ5" s="9">
        <v>0</v>
      </c>
      <c r="AR5" s="9" t="s">
        <v>50</v>
      </c>
      <c r="AS5" s="9"/>
      <c r="AT5" s="9"/>
      <c r="AU5" s="9"/>
      <c r="AV5" s="9"/>
      <c r="AW5" s="9"/>
      <c r="AX5" s="9"/>
      <c r="AY5" s="9"/>
      <c r="AZ5" s="9"/>
      <c r="BA5" s="9"/>
      <c r="BB5" s="9" t="s">
        <v>306</v>
      </c>
      <c r="BC5" s="9" t="s">
        <v>311</v>
      </c>
      <c r="BD5" s="9" t="s">
        <v>306</v>
      </c>
      <c r="BE5" s="9" t="s">
        <v>388</v>
      </c>
      <c r="BF5" s="9"/>
      <c r="BG5" s="9"/>
      <c r="BH5" s="9" t="s">
        <v>306</v>
      </c>
      <c r="BI5" s="9"/>
      <c r="BJ5" s="9"/>
      <c r="BK5" s="9" t="s">
        <v>306</v>
      </c>
      <c r="BL5" s="9"/>
      <c r="BM5" s="9"/>
      <c r="BN5" s="9"/>
      <c r="BO5" s="9" t="s">
        <v>71</v>
      </c>
      <c r="BP5" s="9"/>
      <c r="BQ5" s="9"/>
      <c r="BR5" s="9"/>
      <c r="BS5" s="9"/>
      <c r="BT5" s="9"/>
      <c r="BU5" s="9"/>
      <c r="BV5" s="9"/>
      <c r="BW5" s="9" t="s">
        <v>306</v>
      </c>
      <c r="BX5" s="9"/>
      <c r="BY5" s="9"/>
      <c r="BZ5" s="9"/>
      <c r="CA5" s="9"/>
      <c r="CB5" s="9" t="s">
        <v>389</v>
      </c>
      <c r="CC5" s="9"/>
      <c r="CD5" s="9"/>
      <c r="CE5" s="9" t="s">
        <v>306</v>
      </c>
      <c r="CF5" s="9" t="s">
        <v>306</v>
      </c>
      <c r="CG5" s="9"/>
      <c r="CH5" s="9"/>
      <c r="CI5" s="9" t="s">
        <v>306</v>
      </c>
      <c r="CJ5" s="9"/>
      <c r="CK5" s="9"/>
      <c r="CL5" s="9" t="s">
        <v>314</v>
      </c>
      <c r="CM5" s="9" t="s">
        <v>315</v>
      </c>
      <c r="CN5" s="9" t="s">
        <v>307</v>
      </c>
      <c r="CO5" s="9" t="s">
        <v>92</v>
      </c>
      <c r="CP5" s="9"/>
      <c r="CQ5" s="9"/>
      <c r="CR5" s="9"/>
      <c r="CS5" s="9"/>
      <c r="CT5" s="9"/>
      <c r="CU5" s="9"/>
      <c r="CV5" s="9" t="s">
        <v>306</v>
      </c>
      <c r="CW5" s="9" t="s">
        <v>96</v>
      </c>
      <c r="CX5" s="9"/>
      <c r="CY5" s="9"/>
      <c r="CZ5" s="9" t="s">
        <v>306</v>
      </c>
      <c r="DA5" s="9"/>
      <c r="DB5" s="9"/>
      <c r="DC5" s="9"/>
      <c r="DD5" s="11">
        <v>130</v>
      </c>
      <c r="DE5" s="11">
        <v>130</v>
      </c>
      <c r="DF5" s="11">
        <v>130</v>
      </c>
      <c r="DG5" s="12">
        <v>19.666666666666668</v>
      </c>
      <c r="DH5" s="9">
        <v>18</v>
      </c>
      <c r="DI5" s="9">
        <v>22</v>
      </c>
      <c r="DJ5" s="9">
        <v>100</v>
      </c>
      <c r="DK5" s="9">
        <v>0</v>
      </c>
      <c r="DL5" s="9">
        <v>0</v>
      </c>
      <c r="DM5" s="9">
        <v>0</v>
      </c>
      <c r="DN5" s="9">
        <v>0</v>
      </c>
      <c r="DO5" s="9">
        <v>34</v>
      </c>
      <c r="DP5" s="9">
        <v>10</v>
      </c>
      <c r="DQ5" s="9" t="s">
        <v>306</v>
      </c>
      <c r="DR5" s="9" t="s">
        <v>306</v>
      </c>
      <c r="DS5" s="9" t="s">
        <v>307</v>
      </c>
      <c r="DT5" s="10">
        <v>0.50958904109589043</v>
      </c>
      <c r="DU5" s="10">
        <v>0</v>
      </c>
      <c r="DV5" s="10">
        <f t="shared" si="0"/>
        <v>0.50958904109589043</v>
      </c>
      <c r="DW5" s="9">
        <v>5</v>
      </c>
      <c r="DX5" s="9">
        <v>2</v>
      </c>
      <c r="DY5" s="9">
        <v>0</v>
      </c>
      <c r="DZ5" s="9">
        <v>0</v>
      </c>
      <c r="EA5" s="9">
        <v>3</v>
      </c>
      <c r="EB5" s="9">
        <v>1</v>
      </c>
      <c r="EC5" s="9">
        <v>0</v>
      </c>
      <c r="ED5" s="9">
        <v>0</v>
      </c>
      <c r="EE5" s="9">
        <v>1</v>
      </c>
      <c r="EF5" s="9">
        <v>0</v>
      </c>
      <c r="EG5" s="9">
        <v>0</v>
      </c>
      <c r="EH5" s="9">
        <v>0</v>
      </c>
      <c r="EI5" s="9">
        <v>0</v>
      </c>
      <c r="EJ5" s="9">
        <v>50</v>
      </c>
      <c r="EK5" s="9">
        <v>0</v>
      </c>
      <c r="EL5" s="9">
        <v>50</v>
      </c>
      <c r="EM5" s="9">
        <v>0</v>
      </c>
      <c r="EN5" s="9">
        <v>0</v>
      </c>
      <c r="EO5" s="9">
        <v>80</v>
      </c>
      <c r="EP5" s="9">
        <v>20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 t="s">
        <v>317</v>
      </c>
      <c r="EW5" s="9" t="s">
        <v>306</v>
      </c>
      <c r="EX5" s="9" t="s">
        <v>306</v>
      </c>
      <c r="EY5" s="9" t="s">
        <v>318</v>
      </c>
      <c r="EZ5" s="9" t="s">
        <v>306</v>
      </c>
      <c r="FA5" s="9" t="s">
        <v>306</v>
      </c>
      <c r="FB5" s="9" t="s">
        <v>319</v>
      </c>
      <c r="FC5" s="9">
        <v>2</v>
      </c>
      <c r="FD5" s="9">
        <v>2</v>
      </c>
      <c r="FE5" s="9" t="s">
        <v>377</v>
      </c>
      <c r="FF5" s="9" t="s">
        <v>352</v>
      </c>
      <c r="FG5" s="9" t="s">
        <v>390</v>
      </c>
      <c r="FH5" s="9" t="s">
        <v>306</v>
      </c>
      <c r="FI5" s="9" t="s">
        <v>306</v>
      </c>
      <c r="FJ5" s="9"/>
      <c r="FK5" s="9"/>
      <c r="FL5" s="9"/>
      <c r="FM5" s="9"/>
      <c r="FN5" s="9"/>
      <c r="FO5" s="9" t="s">
        <v>306</v>
      </c>
      <c r="FP5" s="9"/>
      <c r="FQ5" s="9" t="s">
        <v>391</v>
      </c>
      <c r="FR5" s="9" t="s">
        <v>306</v>
      </c>
      <c r="FS5" s="9"/>
      <c r="FT5" s="9"/>
      <c r="FU5" s="9" t="s">
        <v>306</v>
      </c>
      <c r="FV5" s="9" t="s">
        <v>306</v>
      </c>
      <c r="FW5" s="9" t="s">
        <v>306</v>
      </c>
      <c r="FX5" s="9"/>
      <c r="FY5" s="9"/>
      <c r="FZ5" s="9" t="s">
        <v>378</v>
      </c>
      <c r="GA5" s="9" t="s">
        <v>379</v>
      </c>
      <c r="GB5" s="9" t="s">
        <v>306</v>
      </c>
      <c r="GC5" s="9" t="s">
        <v>306</v>
      </c>
      <c r="GD5" s="9" t="s">
        <v>306</v>
      </c>
      <c r="GE5" s="9" t="s">
        <v>306</v>
      </c>
      <c r="GF5" s="9"/>
      <c r="GG5" s="9"/>
      <c r="GH5" s="9"/>
      <c r="GI5" s="9" t="s">
        <v>325</v>
      </c>
      <c r="GJ5" s="9" t="s">
        <v>306</v>
      </c>
      <c r="GK5" s="9">
        <v>2</v>
      </c>
      <c r="GL5" s="9" t="s">
        <v>392</v>
      </c>
      <c r="GM5" s="9" t="s">
        <v>306</v>
      </c>
      <c r="GN5" s="9" t="s">
        <v>306</v>
      </c>
      <c r="GO5" s="9" t="s">
        <v>306</v>
      </c>
      <c r="GP5" s="9" t="s">
        <v>306</v>
      </c>
      <c r="GQ5" s="9"/>
      <c r="GR5" s="9" t="s">
        <v>306</v>
      </c>
      <c r="GS5" s="9">
        <v>28</v>
      </c>
      <c r="GT5" s="9" t="s">
        <v>393</v>
      </c>
      <c r="GU5" s="9" t="s">
        <v>306</v>
      </c>
      <c r="GV5" s="9" t="s">
        <v>306</v>
      </c>
      <c r="GW5" s="9"/>
      <c r="GX5" s="9"/>
      <c r="GY5" s="9"/>
      <c r="GZ5" s="9" t="s">
        <v>306</v>
      </c>
      <c r="HA5" s="9"/>
      <c r="HB5" s="9"/>
      <c r="HC5" s="9"/>
      <c r="HD5" s="9"/>
      <c r="HE5" s="9"/>
      <c r="HF5" s="9" t="s">
        <v>197</v>
      </c>
      <c r="HG5" s="9"/>
      <c r="HH5" s="9"/>
      <c r="HI5" s="9" t="s">
        <v>306</v>
      </c>
      <c r="HJ5" s="9"/>
      <c r="HK5" s="9"/>
      <c r="HL5" s="9"/>
      <c r="HM5" s="9"/>
      <c r="HN5" s="9"/>
      <c r="HO5" s="9"/>
      <c r="HP5" s="9"/>
      <c r="HQ5" s="9"/>
      <c r="HR5" s="9">
        <v>0</v>
      </c>
      <c r="HS5" s="9">
        <v>0</v>
      </c>
      <c r="HT5" s="9">
        <v>50</v>
      </c>
      <c r="HU5" s="9">
        <v>50</v>
      </c>
      <c r="HV5" s="9">
        <v>0</v>
      </c>
      <c r="HW5" s="9" t="s">
        <v>394</v>
      </c>
      <c r="HX5" s="9"/>
      <c r="HY5" s="9"/>
      <c r="HZ5" s="9" t="s">
        <v>306</v>
      </c>
      <c r="IA5" s="9"/>
      <c r="IB5" s="9" t="s">
        <v>306</v>
      </c>
      <c r="IC5" s="9"/>
      <c r="ID5" s="9"/>
      <c r="IE5" s="9" t="s">
        <v>306</v>
      </c>
      <c r="IF5" s="9"/>
      <c r="IG5" s="9"/>
      <c r="IH5" s="9" t="s">
        <v>330</v>
      </c>
      <c r="II5" s="9" t="s">
        <v>383</v>
      </c>
      <c r="IJ5" s="9" t="s">
        <v>231</v>
      </c>
      <c r="IK5" s="9"/>
      <c r="IL5" s="9"/>
      <c r="IM5" s="9"/>
      <c r="IN5" s="9"/>
      <c r="IO5" s="9"/>
      <c r="IP5" s="9"/>
      <c r="IQ5" s="9"/>
      <c r="IR5" s="9"/>
      <c r="IS5" s="9"/>
      <c r="IT5" s="9" t="s">
        <v>306</v>
      </c>
      <c r="IU5" s="9" t="s">
        <v>385</v>
      </c>
      <c r="IV5" s="9" t="s">
        <v>395</v>
      </c>
      <c r="IW5" s="9" t="s">
        <v>306</v>
      </c>
      <c r="IX5" s="9" t="s">
        <v>306</v>
      </c>
      <c r="IY5" s="9" t="s">
        <v>306</v>
      </c>
      <c r="IZ5" s="9"/>
      <c r="JA5" s="9" t="s">
        <v>306</v>
      </c>
      <c r="JB5" s="9">
        <v>0</v>
      </c>
      <c r="JC5" s="9">
        <v>3</v>
      </c>
      <c r="JD5" s="9">
        <v>110</v>
      </c>
      <c r="JE5" s="9">
        <v>27</v>
      </c>
      <c r="JF5" s="9">
        <v>14</v>
      </c>
      <c r="JG5" s="9">
        <v>0</v>
      </c>
      <c r="JH5" s="9">
        <v>0</v>
      </c>
      <c r="JI5" s="9" t="s">
        <v>335</v>
      </c>
      <c r="JJ5" s="9" t="s">
        <v>306</v>
      </c>
      <c r="JK5" s="9" t="s">
        <v>306</v>
      </c>
      <c r="JL5" s="9" t="s">
        <v>306</v>
      </c>
      <c r="JM5" s="9" t="s">
        <v>306</v>
      </c>
      <c r="JN5" s="9" t="s">
        <v>306</v>
      </c>
      <c r="JO5" s="9" t="s">
        <v>306</v>
      </c>
      <c r="JP5" s="9" t="s">
        <v>306</v>
      </c>
      <c r="JQ5" s="9" t="s">
        <v>306</v>
      </c>
      <c r="JR5" s="9" t="s">
        <v>306</v>
      </c>
      <c r="JS5" s="9" t="s">
        <v>306</v>
      </c>
      <c r="JT5" s="9" t="s">
        <v>396</v>
      </c>
      <c r="JU5" s="9" t="s">
        <v>306</v>
      </c>
      <c r="JV5" s="9" t="s">
        <v>306</v>
      </c>
      <c r="JW5" s="9" t="s">
        <v>306</v>
      </c>
      <c r="JX5" s="9" t="s">
        <v>306</v>
      </c>
      <c r="JY5" s="9" t="s">
        <v>306</v>
      </c>
      <c r="JZ5" s="9" t="s">
        <v>306</v>
      </c>
      <c r="KA5" s="9"/>
      <c r="KB5" s="9" t="s">
        <v>267</v>
      </c>
      <c r="KC5" s="9"/>
      <c r="KD5" s="9" t="s">
        <v>306</v>
      </c>
      <c r="KE5" s="9"/>
      <c r="KF5" s="9"/>
      <c r="KG5" s="9" t="s">
        <v>337</v>
      </c>
      <c r="KH5" s="9" t="s">
        <v>338</v>
      </c>
      <c r="KI5" s="9" t="s">
        <v>339</v>
      </c>
      <c r="KJ5" s="9" t="s">
        <v>306</v>
      </c>
      <c r="KK5" s="9" t="s">
        <v>278</v>
      </c>
      <c r="KL5" s="9"/>
      <c r="KM5" s="9"/>
      <c r="KN5" s="9"/>
      <c r="KO5" s="9" t="s">
        <v>306</v>
      </c>
      <c r="KP5" s="9"/>
      <c r="KQ5" s="9"/>
      <c r="KR5" s="9"/>
      <c r="KS5" s="9"/>
      <c r="KT5" s="9"/>
      <c r="KU5" s="9">
        <v>4</v>
      </c>
      <c r="KV5" s="9">
        <v>2.52</v>
      </c>
      <c r="KW5" s="9">
        <v>2.2000000000000002</v>
      </c>
      <c r="KX5" s="9">
        <v>2.8</v>
      </c>
      <c r="KY5" s="9" t="s">
        <v>397</v>
      </c>
      <c r="KZ5" s="9"/>
      <c r="LA5" s="9" t="s">
        <v>306</v>
      </c>
      <c r="LB5" s="9" t="s">
        <v>306</v>
      </c>
      <c r="LC5" s="9" t="s">
        <v>306</v>
      </c>
      <c r="LD5" s="9" t="s">
        <v>306</v>
      </c>
      <c r="LE5" s="9"/>
      <c r="LF5" s="9"/>
      <c r="LG5" s="9" t="s">
        <v>341</v>
      </c>
      <c r="LH5" s="9" t="s">
        <v>341</v>
      </c>
      <c r="LI5" s="9" t="s">
        <v>341</v>
      </c>
      <c r="LJ5" s="9" t="s">
        <v>306</v>
      </c>
      <c r="LK5" s="9" t="s">
        <v>342</v>
      </c>
    </row>
    <row r="6" spans="1:323" x14ac:dyDescent="0.3">
      <c r="A6" s="8"/>
      <c r="B6" s="9" t="s">
        <v>398</v>
      </c>
      <c r="C6" s="9" t="s">
        <v>302</v>
      </c>
      <c r="D6" s="9" t="s">
        <v>634</v>
      </c>
      <c r="E6" s="9" t="s">
        <v>301</v>
      </c>
      <c r="F6" s="9" t="s">
        <v>303</v>
      </c>
      <c r="G6" s="9" t="s">
        <v>321</v>
      </c>
      <c r="H6" s="9" t="s">
        <v>321</v>
      </c>
      <c r="I6" s="9" t="s">
        <v>370</v>
      </c>
      <c r="J6" s="9" t="s">
        <v>399</v>
      </c>
      <c r="K6" s="9" t="s">
        <v>306</v>
      </c>
      <c r="L6" s="9" t="s">
        <v>306</v>
      </c>
      <c r="M6" s="9" t="s">
        <v>306</v>
      </c>
      <c r="N6" s="9" t="s">
        <v>306</v>
      </c>
      <c r="O6" s="9" t="s">
        <v>306</v>
      </c>
      <c r="P6" s="9" t="s">
        <v>306</v>
      </c>
      <c r="Q6" s="9"/>
      <c r="R6" s="9"/>
      <c r="S6" s="9">
        <v>66</v>
      </c>
      <c r="T6" s="9">
        <v>50</v>
      </c>
      <c r="U6" s="9" t="s">
        <v>308</v>
      </c>
      <c r="V6" s="9" t="s">
        <v>372</v>
      </c>
      <c r="W6" s="9" t="s">
        <v>346</v>
      </c>
      <c r="X6" s="10">
        <v>23</v>
      </c>
      <c r="Y6" s="10">
        <v>77</v>
      </c>
      <c r="Z6" s="10">
        <v>0</v>
      </c>
      <c r="AA6" s="10">
        <v>0</v>
      </c>
      <c r="AB6" s="10">
        <v>0</v>
      </c>
      <c r="AC6" s="10">
        <v>0</v>
      </c>
      <c r="AD6" s="10">
        <v>50</v>
      </c>
      <c r="AE6" s="10">
        <v>50</v>
      </c>
      <c r="AF6" s="10">
        <v>0</v>
      </c>
      <c r="AG6" s="10">
        <v>0</v>
      </c>
      <c r="AH6" s="10">
        <v>0</v>
      </c>
      <c r="AI6" s="9" t="s">
        <v>307</v>
      </c>
      <c r="AJ6" s="9">
        <v>90</v>
      </c>
      <c r="AK6" s="9">
        <v>0</v>
      </c>
      <c r="AL6" s="9">
        <v>10</v>
      </c>
      <c r="AM6" s="9">
        <v>0</v>
      </c>
      <c r="AN6" s="9">
        <v>0</v>
      </c>
      <c r="AO6" s="9">
        <v>90</v>
      </c>
      <c r="AP6" s="9">
        <v>10</v>
      </c>
      <c r="AQ6" s="9">
        <v>0</v>
      </c>
      <c r="AR6" s="9" t="s">
        <v>50</v>
      </c>
      <c r="AS6" s="9"/>
      <c r="AT6" s="9"/>
      <c r="AU6" s="9"/>
      <c r="AV6" s="9"/>
      <c r="AW6" s="9"/>
      <c r="AX6" s="9"/>
      <c r="AY6" s="9"/>
      <c r="AZ6" s="9"/>
      <c r="BA6" s="9"/>
      <c r="BB6" s="9" t="s">
        <v>306</v>
      </c>
      <c r="BC6" s="9" t="s">
        <v>400</v>
      </c>
      <c r="BD6" s="9" t="s">
        <v>306</v>
      </c>
      <c r="BE6" s="9" t="s">
        <v>55</v>
      </c>
      <c r="BF6" s="9"/>
      <c r="BG6" s="9" t="s">
        <v>306</v>
      </c>
      <c r="BH6" s="9"/>
      <c r="BI6" s="9"/>
      <c r="BJ6" s="9"/>
      <c r="BK6" s="9"/>
      <c r="BL6" s="9"/>
      <c r="BM6" s="9"/>
      <c r="BN6" s="9"/>
      <c r="BO6" s="9" t="s">
        <v>401</v>
      </c>
      <c r="BP6" s="9" t="s">
        <v>306</v>
      </c>
      <c r="BQ6" s="9" t="s">
        <v>306</v>
      </c>
      <c r="BR6" s="9" t="s">
        <v>306</v>
      </c>
      <c r="BS6" s="9"/>
      <c r="BT6" s="9"/>
      <c r="BU6" s="9"/>
      <c r="BV6" s="9"/>
      <c r="BW6" s="9"/>
      <c r="BX6" s="9"/>
      <c r="BY6" s="9"/>
      <c r="BZ6" s="9"/>
      <c r="CA6" s="9"/>
      <c r="CB6" s="9" t="s">
        <v>402</v>
      </c>
      <c r="CC6" s="9" t="s">
        <v>306</v>
      </c>
      <c r="CD6" s="9" t="s">
        <v>306</v>
      </c>
      <c r="CE6" s="9"/>
      <c r="CF6" s="9" t="s">
        <v>306</v>
      </c>
      <c r="CG6" s="9"/>
      <c r="CH6" s="9"/>
      <c r="CI6" s="9"/>
      <c r="CJ6" s="9"/>
      <c r="CK6" s="9"/>
      <c r="CL6" s="9" t="s">
        <v>314</v>
      </c>
      <c r="CM6" s="9" t="s">
        <v>315</v>
      </c>
      <c r="CN6" s="9" t="s">
        <v>307</v>
      </c>
      <c r="CO6" s="9" t="s">
        <v>92</v>
      </c>
      <c r="CP6" s="9"/>
      <c r="CQ6" s="9"/>
      <c r="CR6" s="9"/>
      <c r="CS6" s="9"/>
      <c r="CT6" s="9"/>
      <c r="CU6" s="9"/>
      <c r="CV6" s="9" t="s">
        <v>306</v>
      </c>
      <c r="CW6" s="9" t="s">
        <v>98</v>
      </c>
      <c r="CX6" s="9"/>
      <c r="CY6" s="9"/>
      <c r="CZ6" s="9"/>
      <c r="DA6" s="9"/>
      <c r="DB6" s="9" t="s">
        <v>306</v>
      </c>
      <c r="DC6" s="9"/>
      <c r="DD6" s="11">
        <v>10000</v>
      </c>
      <c r="DE6" s="11">
        <v>9000</v>
      </c>
      <c r="DF6" s="11">
        <v>11000</v>
      </c>
      <c r="DG6" s="12">
        <v>28</v>
      </c>
      <c r="DH6" s="9">
        <v>26</v>
      </c>
      <c r="DI6" s="9">
        <v>30</v>
      </c>
      <c r="DJ6" s="9">
        <v>95</v>
      </c>
      <c r="DK6" s="9">
        <v>0</v>
      </c>
      <c r="DL6" s="9">
        <v>0</v>
      </c>
      <c r="DM6" s="9">
        <v>0</v>
      </c>
      <c r="DN6" s="9">
        <v>5</v>
      </c>
      <c r="DO6" s="9">
        <v>200</v>
      </c>
      <c r="DP6" s="9">
        <v>70</v>
      </c>
      <c r="DQ6" s="9" t="s">
        <v>306</v>
      </c>
      <c r="DR6" s="9" t="s">
        <v>306</v>
      </c>
      <c r="DS6" s="9" t="s">
        <v>306</v>
      </c>
      <c r="DT6" s="10">
        <v>1.6109589041095891</v>
      </c>
      <c r="DU6" s="10">
        <v>18</v>
      </c>
      <c r="DV6" s="10">
        <f t="shared" si="0"/>
        <v>19.610958904109587</v>
      </c>
      <c r="DW6" s="9">
        <v>400</v>
      </c>
      <c r="DX6" s="9">
        <v>80</v>
      </c>
      <c r="DY6" s="9">
        <v>70</v>
      </c>
      <c r="DZ6" s="9">
        <v>20</v>
      </c>
      <c r="EA6" s="9">
        <v>200</v>
      </c>
      <c r="EB6" s="9">
        <v>150</v>
      </c>
      <c r="EC6" s="9">
        <v>0</v>
      </c>
      <c r="ED6" s="9">
        <v>2</v>
      </c>
      <c r="EE6" s="9">
        <v>3</v>
      </c>
      <c r="EF6" s="9">
        <v>0</v>
      </c>
      <c r="EG6" s="9">
        <v>0</v>
      </c>
      <c r="EH6" s="9">
        <v>0</v>
      </c>
      <c r="EI6" s="9">
        <v>0</v>
      </c>
      <c r="EJ6" s="9">
        <v>100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100</v>
      </c>
      <c r="ES6" s="9">
        <v>0</v>
      </c>
      <c r="ET6" s="9">
        <v>0</v>
      </c>
      <c r="EU6" s="9">
        <v>0</v>
      </c>
      <c r="EV6" s="9" t="s">
        <v>317</v>
      </c>
      <c r="EW6" s="9" t="s">
        <v>306</v>
      </c>
      <c r="EX6" s="9" t="s">
        <v>306</v>
      </c>
      <c r="EY6" s="9" t="s">
        <v>318</v>
      </c>
      <c r="EZ6" s="9" t="s">
        <v>306</v>
      </c>
      <c r="FA6" s="9" t="s">
        <v>306</v>
      </c>
      <c r="FB6" s="9" t="s">
        <v>319</v>
      </c>
      <c r="FC6" s="9">
        <v>2</v>
      </c>
      <c r="FD6" s="9">
        <v>2</v>
      </c>
      <c r="FE6" s="9" t="s">
        <v>320</v>
      </c>
      <c r="FF6" s="9" t="s">
        <v>352</v>
      </c>
      <c r="FG6" s="9" t="s">
        <v>162</v>
      </c>
      <c r="FH6" s="9"/>
      <c r="FI6" s="9"/>
      <c r="FJ6" s="9"/>
      <c r="FK6" s="9"/>
      <c r="FL6" s="9"/>
      <c r="FM6" s="9"/>
      <c r="FN6" s="9" t="s">
        <v>306</v>
      </c>
      <c r="FO6" s="9"/>
      <c r="FP6" s="9"/>
      <c r="FQ6" s="9" t="s">
        <v>166</v>
      </c>
      <c r="FR6" s="9" t="s">
        <v>306</v>
      </c>
      <c r="FS6" s="9"/>
      <c r="FT6" s="9"/>
      <c r="FU6" s="9"/>
      <c r="FV6" s="9"/>
      <c r="FW6" s="9"/>
      <c r="FX6" s="9"/>
      <c r="FY6" s="9"/>
      <c r="FZ6" s="9" t="s">
        <v>378</v>
      </c>
      <c r="GA6" s="9" t="s">
        <v>403</v>
      </c>
      <c r="GB6" s="9" t="s">
        <v>306</v>
      </c>
      <c r="GC6" s="9" t="s">
        <v>306</v>
      </c>
      <c r="GD6" s="9" t="s">
        <v>306</v>
      </c>
      <c r="GE6" s="9"/>
      <c r="GF6" s="9"/>
      <c r="GG6" s="9"/>
      <c r="GH6" s="9"/>
      <c r="GI6" s="9" t="s">
        <v>325</v>
      </c>
      <c r="GJ6" s="9" t="s">
        <v>306</v>
      </c>
      <c r="GK6" s="9">
        <v>2.6</v>
      </c>
      <c r="GL6" s="9" t="s">
        <v>187</v>
      </c>
      <c r="GM6" s="9" t="s">
        <v>306</v>
      </c>
      <c r="GN6" s="9"/>
      <c r="GO6" s="9"/>
      <c r="GP6" s="9"/>
      <c r="GQ6" s="9"/>
      <c r="GR6" s="9"/>
      <c r="GS6" s="9">
        <v>120</v>
      </c>
      <c r="GT6" s="9" t="s">
        <v>404</v>
      </c>
      <c r="GU6" s="9" t="s">
        <v>306</v>
      </c>
      <c r="GV6" s="9" t="s">
        <v>306</v>
      </c>
      <c r="GW6" s="9"/>
      <c r="GX6" s="9"/>
      <c r="GY6" s="9" t="s">
        <v>306</v>
      </c>
      <c r="GZ6" s="9"/>
      <c r="HA6" s="9"/>
      <c r="HB6" s="9"/>
      <c r="HC6" s="9"/>
      <c r="HD6" s="9"/>
      <c r="HE6" s="9"/>
      <c r="HF6" s="9" t="s">
        <v>199</v>
      </c>
      <c r="HG6" s="9"/>
      <c r="HH6" s="9"/>
      <c r="HI6" s="9"/>
      <c r="HJ6" s="9"/>
      <c r="HK6" s="9"/>
      <c r="HL6" s="9"/>
      <c r="HM6" s="9"/>
      <c r="HN6" s="9" t="s">
        <v>306</v>
      </c>
      <c r="HO6" s="9"/>
      <c r="HP6" s="9"/>
      <c r="HQ6" s="9"/>
      <c r="HR6" s="9">
        <v>30</v>
      </c>
      <c r="HS6" s="9">
        <v>70</v>
      </c>
      <c r="HT6" s="9">
        <v>0</v>
      </c>
      <c r="HU6" s="9">
        <v>0</v>
      </c>
      <c r="HV6" s="9">
        <v>0</v>
      </c>
      <c r="HW6" s="9" t="s">
        <v>405</v>
      </c>
      <c r="HX6" s="9" t="s">
        <v>306</v>
      </c>
      <c r="HY6" s="9"/>
      <c r="HZ6" s="9"/>
      <c r="IA6" s="9"/>
      <c r="IB6" s="9" t="s">
        <v>306</v>
      </c>
      <c r="IC6" s="9"/>
      <c r="ID6" s="9" t="s">
        <v>306</v>
      </c>
      <c r="IE6" s="9" t="s">
        <v>306</v>
      </c>
      <c r="IF6" s="9" t="s">
        <v>306</v>
      </c>
      <c r="IG6" s="9"/>
      <c r="IH6" s="9" t="s">
        <v>330</v>
      </c>
      <c r="II6" s="9" t="s">
        <v>331</v>
      </c>
      <c r="IJ6" s="9" t="s">
        <v>406</v>
      </c>
      <c r="IK6" s="9"/>
      <c r="IL6" s="9" t="s">
        <v>306</v>
      </c>
      <c r="IM6" s="9" t="s">
        <v>306</v>
      </c>
      <c r="IN6" s="9" t="s">
        <v>306</v>
      </c>
      <c r="IO6" s="9" t="s">
        <v>306</v>
      </c>
      <c r="IP6" s="9" t="s">
        <v>306</v>
      </c>
      <c r="IQ6" s="9"/>
      <c r="IR6" s="9" t="s">
        <v>306</v>
      </c>
      <c r="IS6" s="9" t="s">
        <v>306</v>
      </c>
      <c r="IT6" s="9" t="s">
        <v>306</v>
      </c>
      <c r="IU6" s="9" t="s">
        <v>407</v>
      </c>
      <c r="IV6" s="9" t="s">
        <v>395</v>
      </c>
      <c r="IW6" s="9" t="s">
        <v>306</v>
      </c>
      <c r="IX6" s="9" t="s">
        <v>306</v>
      </c>
      <c r="IY6" s="9" t="s">
        <v>306</v>
      </c>
      <c r="IZ6" s="9"/>
      <c r="JA6" s="9" t="s">
        <v>306</v>
      </c>
      <c r="JB6" s="9">
        <v>3</v>
      </c>
      <c r="JC6" s="9">
        <v>3</v>
      </c>
      <c r="JD6" s="9">
        <v>120</v>
      </c>
      <c r="JE6" s="9">
        <v>23</v>
      </c>
      <c r="JF6" s="9">
        <v>14</v>
      </c>
      <c r="JG6" s="9">
        <v>3</v>
      </c>
      <c r="JH6" s="9">
        <v>3</v>
      </c>
      <c r="JI6" s="9" t="s">
        <v>408</v>
      </c>
      <c r="JJ6" s="9" t="s">
        <v>306</v>
      </c>
      <c r="JK6" s="9" t="s">
        <v>306</v>
      </c>
      <c r="JL6" s="9" t="s">
        <v>306</v>
      </c>
      <c r="JM6" s="9" t="s">
        <v>306</v>
      </c>
      <c r="JN6" s="9" t="s">
        <v>306</v>
      </c>
      <c r="JO6" s="9"/>
      <c r="JP6" s="9" t="s">
        <v>306</v>
      </c>
      <c r="JQ6" s="9" t="s">
        <v>306</v>
      </c>
      <c r="JR6" s="9" t="s">
        <v>306</v>
      </c>
      <c r="JS6" s="9" t="s">
        <v>306</v>
      </c>
      <c r="JT6" s="9" t="s">
        <v>336</v>
      </c>
      <c r="JU6" s="9" t="s">
        <v>306</v>
      </c>
      <c r="JV6" s="9" t="s">
        <v>306</v>
      </c>
      <c r="JW6" s="9" t="s">
        <v>306</v>
      </c>
      <c r="JX6" s="9" t="s">
        <v>306</v>
      </c>
      <c r="JY6" s="9"/>
      <c r="JZ6" s="9" t="s">
        <v>306</v>
      </c>
      <c r="KA6" s="9" t="s">
        <v>306</v>
      </c>
      <c r="KB6" s="9" t="s">
        <v>267</v>
      </c>
      <c r="KC6" s="9"/>
      <c r="KD6" s="9" t="s">
        <v>306</v>
      </c>
      <c r="KE6" s="9"/>
      <c r="KF6" s="9"/>
      <c r="KG6" s="9" t="s">
        <v>337</v>
      </c>
      <c r="KH6" s="9" t="s">
        <v>338</v>
      </c>
      <c r="KI6" s="9" t="s">
        <v>339</v>
      </c>
      <c r="KJ6" s="9" t="s">
        <v>306</v>
      </c>
      <c r="KK6" s="9" t="s">
        <v>278</v>
      </c>
      <c r="KL6" s="9"/>
      <c r="KM6" s="9"/>
      <c r="KN6" s="9"/>
      <c r="KO6" s="9" t="s">
        <v>306</v>
      </c>
      <c r="KP6" s="9"/>
      <c r="KQ6" s="9"/>
      <c r="KR6" s="9"/>
      <c r="KS6" s="9"/>
      <c r="KT6" s="9"/>
      <c r="KU6" s="9">
        <v>8</v>
      </c>
      <c r="KV6" s="9">
        <v>2.76</v>
      </c>
      <c r="KW6" s="9">
        <v>2.4</v>
      </c>
      <c r="KX6" s="9">
        <v>3</v>
      </c>
      <c r="KY6" s="9" t="s">
        <v>365</v>
      </c>
      <c r="KZ6" s="9" t="s">
        <v>306</v>
      </c>
      <c r="LA6" s="9" t="s">
        <v>306</v>
      </c>
      <c r="LB6" s="9" t="s">
        <v>306</v>
      </c>
      <c r="LC6" s="9" t="s">
        <v>306</v>
      </c>
      <c r="LD6" s="9" t="s">
        <v>306</v>
      </c>
      <c r="LE6" s="9"/>
      <c r="LF6" s="9"/>
      <c r="LG6" s="9" t="s">
        <v>341</v>
      </c>
      <c r="LH6" s="9" t="s">
        <v>341</v>
      </c>
      <c r="LI6" s="9" t="s">
        <v>341</v>
      </c>
      <c r="LJ6" s="9" t="s">
        <v>306</v>
      </c>
      <c r="LK6" s="9" t="s">
        <v>342</v>
      </c>
    </row>
    <row r="7" spans="1:323" x14ac:dyDescent="0.3">
      <c r="A7" s="8"/>
      <c r="B7" s="9" t="s">
        <v>398</v>
      </c>
      <c r="C7" s="9" t="s">
        <v>367</v>
      </c>
      <c r="D7" s="9" t="s">
        <v>635</v>
      </c>
      <c r="E7" s="9" t="s">
        <v>409</v>
      </c>
      <c r="F7" s="9" t="s">
        <v>303</v>
      </c>
      <c r="G7" s="9" t="s">
        <v>304</v>
      </c>
      <c r="H7" s="9" t="s">
        <v>369</v>
      </c>
      <c r="I7" s="9" t="s">
        <v>304</v>
      </c>
      <c r="J7" s="9" t="s">
        <v>410</v>
      </c>
      <c r="K7" s="9" t="s">
        <v>306</v>
      </c>
      <c r="L7" s="9" t="s">
        <v>306</v>
      </c>
      <c r="M7" s="9" t="s">
        <v>306</v>
      </c>
      <c r="N7" s="9" t="s">
        <v>306</v>
      </c>
      <c r="O7" s="9" t="s">
        <v>306</v>
      </c>
      <c r="P7" s="9"/>
      <c r="Q7" s="9"/>
      <c r="R7" s="9" t="s">
        <v>306</v>
      </c>
      <c r="S7" s="9">
        <v>50</v>
      </c>
      <c r="T7" s="9">
        <v>15</v>
      </c>
      <c r="U7" s="9" t="s">
        <v>308</v>
      </c>
      <c r="V7" s="9" t="s">
        <v>411</v>
      </c>
      <c r="W7" s="9" t="s">
        <v>346</v>
      </c>
      <c r="X7" s="10">
        <v>0</v>
      </c>
      <c r="Y7" s="10">
        <v>0</v>
      </c>
      <c r="Z7" s="10">
        <v>0</v>
      </c>
      <c r="AA7" s="10">
        <v>100</v>
      </c>
      <c r="AB7" s="10">
        <v>0</v>
      </c>
      <c r="AC7" s="10">
        <v>0</v>
      </c>
      <c r="AD7" s="10"/>
      <c r="AE7" s="10"/>
      <c r="AF7" s="10"/>
      <c r="AG7" s="10"/>
      <c r="AH7" s="10"/>
      <c r="AI7" s="9" t="s">
        <v>307</v>
      </c>
      <c r="AJ7" s="9">
        <v>90</v>
      </c>
      <c r="AK7" s="9">
        <v>0</v>
      </c>
      <c r="AL7" s="9">
        <v>0</v>
      </c>
      <c r="AM7" s="9">
        <v>0</v>
      </c>
      <c r="AN7" s="9">
        <v>10</v>
      </c>
      <c r="AO7" s="9">
        <v>99</v>
      </c>
      <c r="AP7" s="9">
        <v>1</v>
      </c>
      <c r="AQ7" s="9">
        <v>0</v>
      </c>
      <c r="AR7" s="9" t="s">
        <v>43</v>
      </c>
      <c r="AS7" s="9"/>
      <c r="AT7" s="9"/>
      <c r="AU7" s="9" t="s">
        <v>306</v>
      </c>
      <c r="AV7" s="9"/>
      <c r="AW7" s="9"/>
      <c r="AX7" s="9"/>
      <c r="AY7" s="9"/>
      <c r="AZ7" s="9"/>
      <c r="BA7" s="9"/>
      <c r="BB7" s="9"/>
      <c r="BC7" s="9" t="s">
        <v>412</v>
      </c>
      <c r="BD7" s="9" t="s">
        <v>306</v>
      </c>
      <c r="BE7" s="9" t="s">
        <v>413</v>
      </c>
      <c r="BF7" s="9" t="s">
        <v>306</v>
      </c>
      <c r="BG7" s="9" t="s">
        <v>306</v>
      </c>
      <c r="BH7" s="9" t="s">
        <v>306</v>
      </c>
      <c r="BI7" s="9"/>
      <c r="BJ7" s="9"/>
      <c r="BK7" s="9"/>
      <c r="BL7" s="9"/>
      <c r="BM7" s="9"/>
      <c r="BN7" s="9"/>
      <c r="BO7" s="9" t="s">
        <v>68</v>
      </c>
      <c r="BP7" s="9"/>
      <c r="BQ7" s="9"/>
      <c r="BR7" s="9"/>
      <c r="BS7" s="9"/>
      <c r="BT7" s="9" t="s">
        <v>306</v>
      </c>
      <c r="BU7" s="9"/>
      <c r="BV7" s="9"/>
      <c r="BW7" s="9"/>
      <c r="BX7" s="9"/>
      <c r="BY7" s="9"/>
      <c r="BZ7" s="9"/>
      <c r="CA7" s="9"/>
      <c r="CB7" s="9" t="s">
        <v>313</v>
      </c>
      <c r="CC7" s="9"/>
      <c r="CD7" s="9"/>
      <c r="CE7" s="9" t="s">
        <v>306</v>
      </c>
      <c r="CF7" s="9" t="s">
        <v>306</v>
      </c>
      <c r="CG7" s="9"/>
      <c r="CH7" s="9" t="s">
        <v>306</v>
      </c>
      <c r="CI7" s="9"/>
      <c r="CJ7" s="9"/>
      <c r="CK7" s="9"/>
      <c r="CL7" s="9" t="s">
        <v>314</v>
      </c>
      <c r="CM7" s="9" t="s">
        <v>62</v>
      </c>
      <c r="CN7" s="9" t="s">
        <v>306</v>
      </c>
      <c r="CO7" s="9" t="s">
        <v>43</v>
      </c>
      <c r="CP7" s="9" t="s">
        <v>306</v>
      </c>
      <c r="CQ7" s="9"/>
      <c r="CR7" s="9"/>
      <c r="CS7" s="9"/>
      <c r="CT7" s="9"/>
      <c r="CU7" s="9"/>
      <c r="CV7" s="9"/>
      <c r="CW7" s="9" t="s">
        <v>99</v>
      </c>
      <c r="CX7" s="9"/>
      <c r="CY7" s="9"/>
      <c r="CZ7" s="9"/>
      <c r="DA7" s="9"/>
      <c r="DB7" s="9"/>
      <c r="DC7" s="9" t="s">
        <v>306</v>
      </c>
      <c r="DD7" s="11">
        <v>733.33333333333337</v>
      </c>
      <c r="DE7" s="11">
        <v>650</v>
      </c>
      <c r="DF7" s="11">
        <v>750</v>
      </c>
      <c r="DG7" s="12">
        <v>31.333333333333332</v>
      </c>
      <c r="DH7" s="9">
        <v>28</v>
      </c>
      <c r="DI7" s="9">
        <v>32</v>
      </c>
      <c r="DJ7" s="9">
        <v>96</v>
      </c>
      <c r="DK7" s="9">
        <v>0</v>
      </c>
      <c r="DL7" s="9">
        <v>1</v>
      </c>
      <c r="DM7" s="9">
        <v>1</v>
      </c>
      <c r="DN7" s="9">
        <v>2</v>
      </c>
      <c r="DO7" s="9"/>
      <c r="DP7" s="9">
        <v>6.2</v>
      </c>
      <c r="DQ7" s="9" t="s">
        <v>306</v>
      </c>
      <c r="DR7" s="9" t="s">
        <v>306</v>
      </c>
      <c r="DS7" s="9" t="s">
        <v>306</v>
      </c>
      <c r="DT7" s="10">
        <v>1.000109589041096</v>
      </c>
      <c r="DU7" s="10">
        <v>0</v>
      </c>
      <c r="DV7" s="10">
        <f t="shared" si="0"/>
        <v>1.000109589041096</v>
      </c>
      <c r="DW7" s="9">
        <v>28</v>
      </c>
      <c r="DX7" s="9">
        <v>4</v>
      </c>
      <c r="DY7" s="9">
        <v>2</v>
      </c>
      <c r="DZ7" s="9">
        <v>1</v>
      </c>
      <c r="EA7" s="9">
        <v>19</v>
      </c>
      <c r="EB7" s="9">
        <v>13</v>
      </c>
      <c r="EC7" s="9">
        <v>1</v>
      </c>
      <c r="ED7" s="9">
        <v>0</v>
      </c>
      <c r="EE7" s="9">
        <v>0</v>
      </c>
      <c r="EF7" s="9">
        <v>0</v>
      </c>
      <c r="EG7" s="9">
        <v>100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10</v>
      </c>
      <c r="EQ7" s="9">
        <v>90</v>
      </c>
      <c r="ER7" s="9">
        <v>0</v>
      </c>
      <c r="ES7" s="9">
        <v>0</v>
      </c>
      <c r="ET7" s="9">
        <v>0</v>
      </c>
      <c r="EU7" s="9">
        <v>0</v>
      </c>
      <c r="EV7" s="9" t="s">
        <v>317</v>
      </c>
      <c r="EW7" s="9" t="s">
        <v>306</v>
      </c>
      <c r="EX7" s="9" t="s">
        <v>306</v>
      </c>
      <c r="EY7" s="9" t="s">
        <v>318</v>
      </c>
      <c r="EZ7" s="9" t="s">
        <v>306</v>
      </c>
      <c r="FA7" s="9" t="s">
        <v>306</v>
      </c>
      <c r="FB7" s="9" t="s">
        <v>319</v>
      </c>
      <c r="FC7" s="9">
        <v>2</v>
      </c>
      <c r="FD7" s="9">
        <v>2</v>
      </c>
      <c r="FE7" s="9" t="s">
        <v>377</v>
      </c>
      <c r="FF7" s="9" t="s">
        <v>352</v>
      </c>
      <c r="FG7" s="9" t="s">
        <v>322</v>
      </c>
      <c r="FH7" s="9" t="s">
        <v>306</v>
      </c>
      <c r="FI7" s="9"/>
      <c r="FJ7" s="9"/>
      <c r="FK7" s="9"/>
      <c r="FL7" s="9"/>
      <c r="FM7" s="9"/>
      <c r="FN7" s="9"/>
      <c r="FO7" s="9" t="s">
        <v>306</v>
      </c>
      <c r="FP7" s="9"/>
      <c r="FQ7" s="9" t="s">
        <v>414</v>
      </c>
      <c r="FR7" s="9"/>
      <c r="FS7" s="9"/>
      <c r="FT7" s="9"/>
      <c r="FU7" s="9"/>
      <c r="FV7" s="9" t="s">
        <v>306</v>
      </c>
      <c r="FW7" s="9" t="s">
        <v>306</v>
      </c>
      <c r="FX7" s="9"/>
      <c r="FY7" s="9"/>
      <c r="FZ7" s="9" t="s">
        <v>378</v>
      </c>
      <c r="GA7" s="9" t="s">
        <v>415</v>
      </c>
      <c r="GB7" s="9"/>
      <c r="GC7" s="9" t="s">
        <v>306</v>
      </c>
      <c r="GD7" s="9" t="s">
        <v>306</v>
      </c>
      <c r="GE7" s="9"/>
      <c r="GF7" s="9"/>
      <c r="GG7" s="9"/>
      <c r="GH7" s="9"/>
      <c r="GI7" s="9" t="s">
        <v>325</v>
      </c>
      <c r="GJ7" s="9" t="s">
        <v>306</v>
      </c>
      <c r="GK7" s="9">
        <v>2.35</v>
      </c>
      <c r="GL7" s="9" t="s">
        <v>416</v>
      </c>
      <c r="GM7" s="9" t="s">
        <v>306</v>
      </c>
      <c r="GN7" s="9"/>
      <c r="GO7" s="9"/>
      <c r="GP7" s="9"/>
      <c r="GQ7" s="9"/>
      <c r="GR7" s="9" t="s">
        <v>306</v>
      </c>
      <c r="GS7" s="9">
        <v>20</v>
      </c>
      <c r="GT7" s="9" t="s">
        <v>417</v>
      </c>
      <c r="GU7" s="9" t="s">
        <v>306</v>
      </c>
      <c r="GV7" s="9"/>
      <c r="GW7" s="9"/>
      <c r="GX7" s="9" t="s">
        <v>306</v>
      </c>
      <c r="GY7" s="9"/>
      <c r="GZ7" s="9"/>
      <c r="HA7" s="9"/>
      <c r="HB7" s="9"/>
      <c r="HC7" s="9"/>
      <c r="HD7" s="9" t="s">
        <v>306</v>
      </c>
      <c r="HE7" s="9"/>
      <c r="HF7" s="9" t="s">
        <v>197</v>
      </c>
      <c r="HG7" s="9"/>
      <c r="HH7" s="9"/>
      <c r="HI7" s="9" t="s">
        <v>306</v>
      </c>
      <c r="HJ7" s="9"/>
      <c r="HK7" s="9"/>
      <c r="HL7" s="9"/>
      <c r="HM7" s="9"/>
      <c r="HN7" s="9"/>
      <c r="HO7" s="9"/>
      <c r="HP7" s="9"/>
      <c r="HQ7" s="9"/>
      <c r="HR7" s="9">
        <v>0</v>
      </c>
      <c r="HS7" s="9">
        <v>100</v>
      </c>
      <c r="HT7" s="9">
        <v>0</v>
      </c>
      <c r="HU7" s="9">
        <v>0</v>
      </c>
      <c r="HV7" s="9">
        <v>0</v>
      </c>
      <c r="HW7" s="9" t="s">
        <v>418</v>
      </c>
      <c r="HX7" s="9" t="s">
        <v>306</v>
      </c>
      <c r="HY7" s="9"/>
      <c r="HZ7" s="9" t="s">
        <v>306</v>
      </c>
      <c r="IA7" s="9"/>
      <c r="IB7" s="9" t="s">
        <v>306</v>
      </c>
      <c r="IC7" s="9"/>
      <c r="ID7" s="9"/>
      <c r="IE7" s="9" t="s">
        <v>306</v>
      </c>
      <c r="IF7" s="9" t="s">
        <v>306</v>
      </c>
      <c r="IG7" s="9"/>
      <c r="IH7" s="9" t="s">
        <v>330</v>
      </c>
      <c r="II7" s="9" t="s">
        <v>383</v>
      </c>
      <c r="IJ7" s="9" t="s">
        <v>419</v>
      </c>
      <c r="IK7" s="9"/>
      <c r="IL7" s="9"/>
      <c r="IM7" s="9" t="s">
        <v>306</v>
      </c>
      <c r="IN7" s="9"/>
      <c r="IO7" s="9" t="s">
        <v>306</v>
      </c>
      <c r="IP7" s="9" t="s">
        <v>306</v>
      </c>
      <c r="IQ7" s="9"/>
      <c r="IR7" s="9" t="s">
        <v>306</v>
      </c>
      <c r="IS7" s="9"/>
      <c r="IT7" s="9" t="s">
        <v>306</v>
      </c>
      <c r="IU7" s="9" t="s">
        <v>407</v>
      </c>
      <c r="IV7" s="9" t="s">
        <v>238</v>
      </c>
      <c r="IW7" s="9"/>
      <c r="IX7" s="9"/>
      <c r="IY7" s="9"/>
      <c r="IZ7" s="9"/>
      <c r="JA7" s="9" t="s">
        <v>306</v>
      </c>
      <c r="JB7" s="9">
        <v>0</v>
      </c>
      <c r="JC7" s="9">
        <v>2.5</v>
      </c>
      <c r="JD7" s="9">
        <v>120</v>
      </c>
      <c r="JE7" s="9">
        <v>24</v>
      </c>
      <c r="JF7" s="9">
        <v>14</v>
      </c>
      <c r="JG7" s="9">
        <v>0</v>
      </c>
      <c r="JH7" s="9">
        <v>0</v>
      </c>
      <c r="JI7" s="9" t="s">
        <v>420</v>
      </c>
      <c r="JJ7" s="9" t="s">
        <v>306</v>
      </c>
      <c r="JK7" s="9" t="s">
        <v>306</v>
      </c>
      <c r="JL7" s="9"/>
      <c r="JM7" s="9" t="s">
        <v>306</v>
      </c>
      <c r="JN7" s="9"/>
      <c r="JO7" s="9" t="s">
        <v>306</v>
      </c>
      <c r="JP7" s="9" t="s">
        <v>306</v>
      </c>
      <c r="JQ7" s="9"/>
      <c r="JR7" s="9" t="s">
        <v>306</v>
      </c>
      <c r="JS7" s="9" t="s">
        <v>306</v>
      </c>
      <c r="JT7" s="9" t="s">
        <v>387</v>
      </c>
      <c r="JU7" s="9"/>
      <c r="JV7" s="9" t="s">
        <v>306</v>
      </c>
      <c r="JW7" s="9" t="s">
        <v>306</v>
      </c>
      <c r="JX7" s="9" t="s">
        <v>306</v>
      </c>
      <c r="JY7" s="9"/>
      <c r="JZ7" s="9"/>
      <c r="KA7" s="9"/>
      <c r="KB7" s="9" t="s">
        <v>421</v>
      </c>
      <c r="KC7" s="9"/>
      <c r="KD7" s="9" t="s">
        <v>306</v>
      </c>
      <c r="KE7" s="9"/>
      <c r="KF7" s="9" t="s">
        <v>306</v>
      </c>
      <c r="KG7" s="9" t="s">
        <v>337</v>
      </c>
      <c r="KH7" s="9" t="s">
        <v>422</v>
      </c>
      <c r="KI7" s="9" t="s">
        <v>339</v>
      </c>
      <c r="KJ7" s="9" t="s">
        <v>306</v>
      </c>
      <c r="KK7" s="9" t="s">
        <v>278</v>
      </c>
      <c r="KL7" s="9"/>
      <c r="KM7" s="9"/>
      <c r="KN7" s="9"/>
      <c r="KO7" s="9" t="s">
        <v>306</v>
      </c>
      <c r="KP7" s="9"/>
      <c r="KQ7" s="9"/>
      <c r="KR7" s="9"/>
      <c r="KS7" s="9"/>
      <c r="KT7" s="9"/>
      <c r="KU7" s="9">
        <v>5</v>
      </c>
      <c r="KV7" s="9">
        <v>3.04</v>
      </c>
      <c r="KW7" s="9">
        <v>2.8</v>
      </c>
      <c r="KX7" s="9">
        <v>2.8</v>
      </c>
      <c r="KY7" s="9" t="s">
        <v>365</v>
      </c>
      <c r="KZ7" s="9" t="s">
        <v>306</v>
      </c>
      <c r="LA7" s="9" t="s">
        <v>306</v>
      </c>
      <c r="LB7" s="9" t="s">
        <v>306</v>
      </c>
      <c r="LC7" s="9" t="s">
        <v>306</v>
      </c>
      <c r="LD7" s="9" t="s">
        <v>306</v>
      </c>
      <c r="LE7" s="9"/>
      <c r="LF7" s="9"/>
      <c r="LG7" s="9" t="s">
        <v>341</v>
      </c>
      <c r="LH7" s="9" t="s">
        <v>341</v>
      </c>
      <c r="LI7" s="9" t="s">
        <v>341</v>
      </c>
      <c r="LJ7" s="9" t="s">
        <v>306</v>
      </c>
      <c r="LK7" s="9" t="s">
        <v>423</v>
      </c>
    </row>
    <row r="8" spans="1:323" x14ac:dyDescent="0.3">
      <c r="A8" s="8"/>
      <c r="B8" s="9" t="s">
        <v>424</v>
      </c>
      <c r="C8" s="9" t="s">
        <v>302</v>
      </c>
      <c r="D8" s="9" t="s">
        <v>631</v>
      </c>
      <c r="E8" s="9" t="s">
        <v>301</v>
      </c>
      <c r="F8" s="9" t="s">
        <v>303</v>
      </c>
      <c r="G8" s="9" t="s">
        <v>304</v>
      </c>
      <c r="H8" s="9" t="s">
        <v>369</v>
      </c>
      <c r="I8" s="9" t="s">
        <v>304</v>
      </c>
      <c r="J8" s="9" t="s">
        <v>425</v>
      </c>
      <c r="K8" s="9" t="s">
        <v>306</v>
      </c>
      <c r="L8" s="9" t="s">
        <v>306</v>
      </c>
      <c r="M8" s="9" t="s">
        <v>306</v>
      </c>
      <c r="N8" s="9" t="s">
        <v>306</v>
      </c>
      <c r="O8" s="9"/>
      <c r="P8" s="9"/>
      <c r="Q8" s="9"/>
      <c r="R8" s="9"/>
      <c r="S8" s="9">
        <v>31</v>
      </c>
      <c r="T8" s="9">
        <v>19</v>
      </c>
      <c r="U8" s="9" t="s">
        <v>308</v>
      </c>
      <c r="V8" s="9" t="s">
        <v>372</v>
      </c>
      <c r="W8" s="9" t="s">
        <v>346</v>
      </c>
      <c r="X8" s="10">
        <v>99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10</v>
      </c>
      <c r="AE8" s="10">
        <v>90</v>
      </c>
      <c r="AF8" s="10">
        <v>0</v>
      </c>
      <c r="AG8" s="10">
        <v>0</v>
      </c>
      <c r="AH8" s="10">
        <v>0</v>
      </c>
      <c r="AI8" s="9" t="s">
        <v>307</v>
      </c>
      <c r="AJ8" s="9">
        <v>40</v>
      </c>
      <c r="AK8" s="9">
        <v>0</v>
      </c>
      <c r="AL8" s="9">
        <v>0</v>
      </c>
      <c r="AM8" s="9">
        <v>0</v>
      </c>
      <c r="AN8" s="9">
        <v>60</v>
      </c>
      <c r="AO8" s="9">
        <v>90</v>
      </c>
      <c r="AP8" s="9">
        <v>10</v>
      </c>
      <c r="AQ8" s="9">
        <v>0</v>
      </c>
      <c r="AR8" s="9" t="s">
        <v>50</v>
      </c>
      <c r="AS8" s="9"/>
      <c r="AT8" s="9"/>
      <c r="AU8" s="9"/>
      <c r="AV8" s="9"/>
      <c r="AW8" s="9"/>
      <c r="AX8" s="9"/>
      <c r="AY8" s="9"/>
      <c r="AZ8" s="9"/>
      <c r="BA8" s="9"/>
      <c r="BB8" s="9" t="s">
        <v>306</v>
      </c>
      <c r="BC8" s="9" t="s">
        <v>412</v>
      </c>
      <c r="BD8" s="9" t="s">
        <v>306</v>
      </c>
      <c r="BE8" s="9" t="s">
        <v>413</v>
      </c>
      <c r="BF8" s="9" t="s">
        <v>306</v>
      </c>
      <c r="BG8" s="9" t="s">
        <v>306</v>
      </c>
      <c r="BH8" s="9" t="s">
        <v>306</v>
      </c>
      <c r="BI8" s="9"/>
      <c r="BJ8" s="9"/>
      <c r="BK8" s="9"/>
      <c r="BL8" s="9"/>
      <c r="BM8" s="9"/>
      <c r="BN8" s="9"/>
      <c r="BO8" s="9" t="s">
        <v>426</v>
      </c>
      <c r="BP8" s="9" t="s">
        <v>306</v>
      </c>
      <c r="BQ8" s="9" t="s">
        <v>306</v>
      </c>
      <c r="BR8" s="9"/>
      <c r="BS8" s="9"/>
      <c r="BT8" s="9"/>
      <c r="BU8" s="9" t="s">
        <v>306</v>
      </c>
      <c r="BV8" s="9"/>
      <c r="BW8" s="9"/>
      <c r="BX8" s="9"/>
      <c r="BY8" s="9"/>
      <c r="BZ8" s="9"/>
      <c r="CA8" s="9"/>
      <c r="CB8" s="9" t="s">
        <v>427</v>
      </c>
      <c r="CC8" s="9"/>
      <c r="CD8" s="9" t="s">
        <v>306</v>
      </c>
      <c r="CE8" s="9" t="s">
        <v>306</v>
      </c>
      <c r="CF8" s="9"/>
      <c r="CG8" s="9"/>
      <c r="CH8" s="9"/>
      <c r="CI8" s="9" t="s">
        <v>306</v>
      </c>
      <c r="CJ8" s="9"/>
      <c r="CK8" s="9"/>
      <c r="CL8" s="9" t="s">
        <v>376</v>
      </c>
      <c r="CM8" s="9" t="s">
        <v>315</v>
      </c>
      <c r="CN8" s="9" t="s">
        <v>307</v>
      </c>
      <c r="CO8" s="9" t="s">
        <v>92</v>
      </c>
      <c r="CP8" s="9"/>
      <c r="CQ8" s="9"/>
      <c r="CR8" s="9"/>
      <c r="CS8" s="9"/>
      <c r="CT8" s="9"/>
      <c r="CU8" s="9"/>
      <c r="CV8" s="9" t="s">
        <v>306</v>
      </c>
      <c r="CW8" s="9" t="s">
        <v>98</v>
      </c>
      <c r="CX8" s="9"/>
      <c r="CY8" s="9"/>
      <c r="CZ8" s="9"/>
      <c r="DA8" s="9"/>
      <c r="DB8" s="9" t="s">
        <v>306</v>
      </c>
      <c r="DC8" s="9"/>
      <c r="DD8" s="11">
        <v>1613.3333333333333</v>
      </c>
      <c r="DE8" s="11">
        <v>1600</v>
      </c>
      <c r="DF8" s="11">
        <v>1620</v>
      </c>
      <c r="DG8" s="12">
        <v>31.333333333333332</v>
      </c>
      <c r="DH8" s="9">
        <v>30</v>
      </c>
      <c r="DI8" s="9">
        <v>32</v>
      </c>
      <c r="DJ8" s="9">
        <v>80</v>
      </c>
      <c r="DK8" s="9">
        <v>1</v>
      </c>
      <c r="DL8" s="9">
        <v>0</v>
      </c>
      <c r="DM8" s="9">
        <v>2</v>
      </c>
      <c r="DN8" s="9">
        <v>17</v>
      </c>
      <c r="DO8" s="9">
        <v>46</v>
      </c>
      <c r="DP8" s="9">
        <v>17</v>
      </c>
      <c r="DQ8" s="9" t="s">
        <v>307</v>
      </c>
      <c r="DR8" s="9" t="s">
        <v>307</v>
      </c>
      <c r="DS8" s="9" t="s">
        <v>307</v>
      </c>
      <c r="DT8" s="10">
        <v>0.49315068493150682</v>
      </c>
      <c r="DU8" s="10">
        <v>11</v>
      </c>
      <c r="DV8" s="10">
        <f t="shared" si="0"/>
        <v>11.493150684931507</v>
      </c>
      <c r="DW8" s="9">
        <v>53</v>
      </c>
      <c r="DX8" s="9">
        <v>9</v>
      </c>
      <c r="DY8" s="9">
        <v>19</v>
      </c>
      <c r="DZ8" s="9">
        <v>0</v>
      </c>
      <c r="EA8" s="9">
        <v>35</v>
      </c>
      <c r="EB8" s="9">
        <v>15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95</v>
      </c>
      <c r="EK8" s="9">
        <v>0</v>
      </c>
      <c r="EL8" s="9">
        <v>5</v>
      </c>
      <c r="EM8" s="9">
        <v>0</v>
      </c>
      <c r="EN8" s="9">
        <v>0</v>
      </c>
      <c r="EO8" s="9">
        <v>1</v>
      </c>
      <c r="EP8" s="9">
        <v>0</v>
      </c>
      <c r="EQ8" s="9">
        <v>0</v>
      </c>
      <c r="ER8" s="9">
        <v>99</v>
      </c>
      <c r="ES8" s="9">
        <v>0</v>
      </c>
      <c r="ET8" s="9">
        <v>0</v>
      </c>
      <c r="EU8" s="9">
        <v>0</v>
      </c>
      <c r="EV8" s="9" t="s">
        <v>317</v>
      </c>
      <c r="EW8" s="9" t="s">
        <v>306</v>
      </c>
      <c r="EX8" s="9" t="s">
        <v>306</v>
      </c>
      <c r="EY8" s="9" t="s">
        <v>318</v>
      </c>
      <c r="EZ8" s="9" t="s">
        <v>306</v>
      </c>
      <c r="FA8" s="9" t="s">
        <v>306</v>
      </c>
      <c r="FB8" s="9" t="s">
        <v>319</v>
      </c>
      <c r="FC8" s="9">
        <v>2</v>
      </c>
      <c r="FD8" s="9">
        <v>2</v>
      </c>
      <c r="FE8" s="9" t="s">
        <v>377</v>
      </c>
      <c r="FF8" s="9" t="s">
        <v>428</v>
      </c>
      <c r="FG8" s="9" t="s">
        <v>164</v>
      </c>
      <c r="FH8" s="9"/>
      <c r="FI8" s="9"/>
      <c r="FJ8" s="9"/>
      <c r="FK8" s="9"/>
      <c r="FL8" s="9"/>
      <c r="FM8" s="9"/>
      <c r="FN8" s="9"/>
      <c r="FO8" s="9"/>
      <c r="FP8" s="9" t="s">
        <v>306</v>
      </c>
      <c r="FQ8" s="9" t="s">
        <v>173</v>
      </c>
      <c r="FR8" s="9"/>
      <c r="FS8" s="9"/>
      <c r="FT8" s="9"/>
      <c r="FU8" s="9"/>
      <c r="FV8" s="9"/>
      <c r="FW8" s="9"/>
      <c r="FX8" s="9"/>
      <c r="FY8" s="9" t="s">
        <v>306</v>
      </c>
      <c r="FZ8" s="9" t="s">
        <v>323</v>
      </c>
      <c r="GA8" s="9" t="s">
        <v>429</v>
      </c>
      <c r="GB8" s="9"/>
      <c r="GC8" s="9" t="s">
        <v>306</v>
      </c>
      <c r="GD8" s="9"/>
      <c r="GE8" s="9"/>
      <c r="GF8" s="9" t="s">
        <v>306</v>
      </c>
      <c r="GG8" s="9" t="s">
        <v>306</v>
      </c>
      <c r="GH8" s="9"/>
      <c r="GI8" s="9" t="s">
        <v>325</v>
      </c>
      <c r="GJ8" s="9" t="s">
        <v>307</v>
      </c>
      <c r="GK8" s="9"/>
      <c r="GL8" s="9" t="s">
        <v>326</v>
      </c>
      <c r="GM8" s="9" t="s">
        <v>306</v>
      </c>
      <c r="GN8" s="9"/>
      <c r="GO8" s="9" t="s">
        <v>306</v>
      </c>
      <c r="GP8" s="9"/>
      <c r="GQ8" s="9"/>
      <c r="GR8" s="9" t="s">
        <v>306</v>
      </c>
      <c r="GS8" s="9">
        <v>26</v>
      </c>
      <c r="GT8" s="9" t="s">
        <v>430</v>
      </c>
      <c r="GU8" s="9"/>
      <c r="GV8" s="9"/>
      <c r="GW8" s="9"/>
      <c r="GX8" s="9"/>
      <c r="GY8" s="9" t="s">
        <v>306</v>
      </c>
      <c r="GZ8" s="9" t="s">
        <v>306</v>
      </c>
      <c r="HA8" s="9" t="s">
        <v>306</v>
      </c>
      <c r="HB8" s="9"/>
      <c r="HC8" s="9"/>
      <c r="HD8" s="9"/>
      <c r="HE8" s="9"/>
      <c r="HF8" s="9" t="s">
        <v>197</v>
      </c>
      <c r="HG8" s="9"/>
      <c r="HH8" s="9"/>
      <c r="HI8" s="9" t="s">
        <v>306</v>
      </c>
      <c r="HJ8" s="9"/>
      <c r="HK8" s="9"/>
      <c r="HL8" s="9"/>
      <c r="HM8" s="9"/>
      <c r="HN8" s="9"/>
      <c r="HO8" s="9"/>
      <c r="HP8" s="9"/>
      <c r="HQ8" s="9"/>
      <c r="HR8" s="9">
        <v>0</v>
      </c>
      <c r="HS8" s="9">
        <v>100</v>
      </c>
      <c r="HT8" s="9">
        <v>0</v>
      </c>
      <c r="HU8" s="9">
        <v>0</v>
      </c>
      <c r="HV8" s="9">
        <v>0</v>
      </c>
      <c r="HW8" s="9" t="s">
        <v>431</v>
      </c>
      <c r="HX8" s="9" t="s">
        <v>306</v>
      </c>
      <c r="HY8" s="9"/>
      <c r="HZ8" s="9"/>
      <c r="IA8" s="9"/>
      <c r="IB8" s="9" t="s">
        <v>306</v>
      </c>
      <c r="IC8" s="9"/>
      <c r="ID8" s="9" t="s">
        <v>306</v>
      </c>
      <c r="IE8" s="9" t="s">
        <v>306</v>
      </c>
      <c r="IF8" s="9"/>
      <c r="IG8" s="9"/>
      <c r="IH8" s="9" t="s">
        <v>330</v>
      </c>
      <c r="II8" s="9" t="s">
        <v>331</v>
      </c>
      <c r="IJ8" s="9" t="s">
        <v>432</v>
      </c>
      <c r="IK8" s="9" t="s">
        <v>306</v>
      </c>
      <c r="IL8" s="9" t="s">
        <v>306</v>
      </c>
      <c r="IM8" s="9" t="s">
        <v>306</v>
      </c>
      <c r="IN8" s="9" t="s">
        <v>306</v>
      </c>
      <c r="IO8" s="9"/>
      <c r="IP8" s="9" t="s">
        <v>306</v>
      </c>
      <c r="IQ8" s="9"/>
      <c r="IR8" s="9"/>
      <c r="IS8" s="9"/>
      <c r="IT8" s="9" t="s">
        <v>306</v>
      </c>
      <c r="IU8" s="9" t="s">
        <v>333</v>
      </c>
      <c r="IV8" s="9" t="s">
        <v>361</v>
      </c>
      <c r="IW8" s="9" t="s">
        <v>306</v>
      </c>
      <c r="IX8" s="9" t="s">
        <v>306</v>
      </c>
      <c r="IY8" s="9" t="s">
        <v>306</v>
      </c>
      <c r="IZ8" s="9" t="s">
        <v>306</v>
      </c>
      <c r="JA8" s="9" t="s">
        <v>306</v>
      </c>
      <c r="JB8" s="9">
        <v>0</v>
      </c>
      <c r="JC8" s="9">
        <v>3</v>
      </c>
      <c r="JD8" s="9">
        <v>110</v>
      </c>
      <c r="JE8" s="9">
        <v>23</v>
      </c>
      <c r="JF8" s="9">
        <v>13</v>
      </c>
      <c r="JG8" s="9">
        <v>1</v>
      </c>
      <c r="JH8" s="9">
        <v>1.6</v>
      </c>
      <c r="JI8" s="9" t="s">
        <v>433</v>
      </c>
      <c r="JJ8" s="9" t="s">
        <v>306</v>
      </c>
      <c r="JK8" s="9" t="s">
        <v>306</v>
      </c>
      <c r="JL8" s="9"/>
      <c r="JM8" s="9" t="s">
        <v>306</v>
      </c>
      <c r="JN8" s="9" t="s">
        <v>306</v>
      </c>
      <c r="JO8" s="9" t="s">
        <v>306</v>
      </c>
      <c r="JP8" s="9" t="s">
        <v>306</v>
      </c>
      <c r="JQ8" s="9" t="s">
        <v>306</v>
      </c>
      <c r="JR8" s="9" t="s">
        <v>306</v>
      </c>
      <c r="JS8" s="9" t="s">
        <v>306</v>
      </c>
      <c r="JT8" s="9" t="s">
        <v>362</v>
      </c>
      <c r="JU8" s="9" t="s">
        <v>306</v>
      </c>
      <c r="JV8" s="9" t="s">
        <v>306</v>
      </c>
      <c r="JW8" s="9" t="s">
        <v>306</v>
      </c>
      <c r="JX8" s="9"/>
      <c r="JY8" s="9"/>
      <c r="JZ8" s="9" t="s">
        <v>306</v>
      </c>
      <c r="KA8" s="9" t="s">
        <v>306</v>
      </c>
      <c r="KB8" s="9" t="s">
        <v>363</v>
      </c>
      <c r="KC8" s="9" t="s">
        <v>306</v>
      </c>
      <c r="KD8" s="9" t="s">
        <v>306</v>
      </c>
      <c r="KE8" s="9"/>
      <c r="KF8" s="9"/>
      <c r="KG8" s="9" t="s">
        <v>434</v>
      </c>
      <c r="KH8" s="9" t="s">
        <v>338</v>
      </c>
      <c r="KI8" s="9" t="s">
        <v>339</v>
      </c>
      <c r="KJ8" s="9" t="s">
        <v>306</v>
      </c>
      <c r="KK8" s="9" t="s">
        <v>435</v>
      </c>
      <c r="KL8" s="9" t="s">
        <v>306</v>
      </c>
      <c r="KM8" s="9" t="s">
        <v>306</v>
      </c>
      <c r="KN8" s="9"/>
      <c r="KO8" s="9" t="s">
        <v>306</v>
      </c>
      <c r="KP8" s="9"/>
      <c r="KQ8" s="9"/>
      <c r="KR8" s="9"/>
      <c r="KS8" s="9"/>
      <c r="KT8" s="9"/>
      <c r="KU8" s="9">
        <v>5</v>
      </c>
      <c r="KV8" s="9">
        <v>3</v>
      </c>
      <c r="KW8" s="9">
        <v>2.5</v>
      </c>
      <c r="KX8" s="9">
        <v>2.95</v>
      </c>
      <c r="KY8" s="9" t="s">
        <v>397</v>
      </c>
      <c r="KZ8" s="9"/>
      <c r="LA8" s="9" t="s">
        <v>306</v>
      </c>
      <c r="LB8" s="9" t="s">
        <v>306</v>
      </c>
      <c r="LC8" s="9" t="s">
        <v>306</v>
      </c>
      <c r="LD8" s="9" t="s">
        <v>306</v>
      </c>
      <c r="LE8" s="9"/>
      <c r="LF8" s="9"/>
      <c r="LG8" s="9" t="s">
        <v>341</v>
      </c>
      <c r="LH8" s="9" t="s">
        <v>341</v>
      </c>
      <c r="LI8" s="9" t="s">
        <v>341</v>
      </c>
      <c r="LJ8" s="9" t="s">
        <v>307</v>
      </c>
      <c r="LK8" s="9" t="s">
        <v>342</v>
      </c>
    </row>
    <row r="9" spans="1:323" x14ac:dyDescent="0.3">
      <c r="A9" s="8"/>
      <c r="B9" s="9" t="s">
        <v>300</v>
      </c>
      <c r="C9" s="9" t="s">
        <v>302</v>
      </c>
      <c r="D9" s="9" t="s">
        <v>635</v>
      </c>
      <c r="E9" s="9" t="s">
        <v>301</v>
      </c>
      <c r="F9" s="9" t="s">
        <v>303</v>
      </c>
      <c r="G9" s="9" t="s">
        <v>304</v>
      </c>
      <c r="H9" s="9" t="s">
        <v>304</v>
      </c>
      <c r="I9" s="9" t="s">
        <v>321</v>
      </c>
      <c r="J9" s="9" t="s">
        <v>399</v>
      </c>
      <c r="K9" s="9" t="s">
        <v>306</v>
      </c>
      <c r="L9" s="9" t="s">
        <v>306</v>
      </c>
      <c r="M9" s="9" t="s">
        <v>306</v>
      </c>
      <c r="N9" s="9" t="s">
        <v>306</v>
      </c>
      <c r="O9" s="9" t="s">
        <v>306</v>
      </c>
      <c r="P9" s="9" t="s">
        <v>306</v>
      </c>
      <c r="Q9" s="9"/>
      <c r="R9" s="9"/>
      <c r="S9" s="9">
        <v>60</v>
      </c>
      <c r="T9" s="9">
        <v>5</v>
      </c>
      <c r="U9" s="9" t="s">
        <v>308</v>
      </c>
      <c r="V9" s="9" t="s">
        <v>372</v>
      </c>
      <c r="W9" s="9" t="s">
        <v>310</v>
      </c>
      <c r="X9" s="10">
        <v>70</v>
      </c>
      <c r="Y9" s="10">
        <v>30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100</v>
      </c>
      <c r="AF9" s="10">
        <v>0</v>
      </c>
      <c r="AG9" s="10">
        <v>0</v>
      </c>
      <c r="AH9" s="10">
        <v>0</v>
      </c>
      <c r="AI9" s="9" t="s">
        <v>307</v>
      </c>
      <c r="AJ9" s="9">
        <v>50</v>
      </c>
      <c r="AK9" s="9">
        <v>0</v>
      </c>
      <c r="AL9" s="9">
        <v>0</v>
      </c>
      <c r="AM9" s="9">
        <v>0</v>
      </c>
      <c r="AN9" s="9">
        <v>50</v>
      </c>
      <c r="AO9" s="9">
        <v>97</v>
      </c>
      <c r="AP9" s="9">
        <v>3</v>
      </c>
      <c r="AQ9" s="9">
        <v>0</v>
      </c>
      <c r="AR9" s="9" t="s">
        <v>42</v>
      </c>
      <c r="AS9" s="9"/>
      <c r="AT9" s="9" t="s">
        <v>306</v>
      </c>
      <c r="AU9" s="9"/>
      <c r="AV9" s="9"/>
      <c r="AW9" s="9"/>
      <c r="AX9" s="9"/>
      <c r="AY9" s="9"/>
      <c r="AZ9" s="9"/>
      <c r="BA9" s="9"/>
      <c r="BB9" s="9"/>
      <c r="BC9" s="9" t="s">
        <v>311</v>
      </c>
      <c r="BD9" s="9" t="s">
        <v>307</v>
      </c>
      <c r="BE9" s="9" t="s">
        <v>436</v>
      </c>
      <c r="BF9" s="9" t="s">
        <v>306</v>
      </c>
      <c r="BG9" s="9"/>
      <c r="BH9" s="9"/>
      <c r="BI9" s="9" t="s">
        <v>306</v>
      </c>
      <c r="BJ9" s="9"/>
      <c r="BK9" s="9"/>
      <c r="BL9" s="9"/>
      <c r="BM9" s="9"/>
      <c r="BN9" s="9"/>
      <c r="BO9" s="9" t="s">
        <v>437</v>
      </c>
      <c r="BP9" s="9"/>
      <c r="BQ9" s="9" t="s">
        <v>306</v>
      </c>
      <c r="BR9" s="9" t="s">
        <v>306</v>
      </c>
      <c r="BS9" s="9"/>
      <c r="BT9" s="9"/>
      <c r="BU9" s="9" t="s">
        <v>306</v>
      </c>
      <c r="BV9" s="9"/>
      <c r="BW9" s="9"/>
      <c r="BX9" s="9"/>
      <c r="BY9" s="9"/>
      <c r="BZ9" s="9"/>
      <c r="CA9" s="9"/>
      <c r="CB9" s="9" t="s">
        <v>438</v>
      </c>
      <c r="CC9" s="9" t="s">
        <v>306</v>
      </c>
      <c r="CD9" s="9"/>
      <c r="CE9" s="9" t="s">
        <v>306</v>
      </c>
      <c r="CF9" s="9"/>
      <c r="CG9" s="9" t="s">
        <v>306</v>
      </c>
      <c r="CH9" s="9"/>
      <c r="CI9" s="9"/>
      <c r="CJ9" s="9"/>
      <c r="CK9" s="9"/>
      <c r="CL9" s="9" t="s">
        <v>314</v>
      </c>
      <c r="CM9" s="9" t="s">
        <v>315</v>
      </c>
      <c r="CN9" s="9" t="s">
        <v>306</v>
      </c>
      <c r="CO9" s="9" t="s">
        <v>44</v>
      </c>
      <c r="CP9" s="9"/>
      <c r="CQ9" s="9"/>
      <c r="CR9" s="9" t="s">
        <v>306</v>
      </c>
      <c r="CS9" s="9"/>
      <c r="CT9" s="9"/>
      <c r="CU9" s="9"/>
      <c r="CV9" s="9"/>
      <c r="CW9" s="9" t="s">
        <v>99</v>
      </c>
      <c r="CX9" s="9"/>
      <c r="CY9" s="9"/>
      <c r="CZ9" s="9"/>
      <c r="DA9" s="9"/>
      <c r="DB9" s="9"/>
      <c r="DC9" s="9" t="s">
        <v>306</v>
      </c>
      <c r="DD9" s="11">
        <v>800</v>
      </c>
      <c r="DE9" s="11">
        <v>800</v>
      </c>
      <c r="DF9" s="11">
        <v>800</v>
      </c>
      <c r="DG9" s="12">
        <v>27</v>
      </c>
      <c r="DH9" s="9">
        <v>27</v>
      </c>
      <c r="DI9" s="9">
        <v>27</v>
      </c>
      <c r="DJ9" s="9">
        <v>95</v>
      </c>
      <c r="DK9" s="9">
        <v>0</v>
      </c>
      <c r="DL9" s="9">
        <v>0</v>
      </c>
      <c r="DM9" s="9">
        <v>0.5</v>
      </c>
      <c r="DN9" s="9">
        <v>4.5</v>
      </c>
      <c r="DO9" s="9">
        <v>15</v>
      </c>
      <c r="DP9" s="9">
        <v>25</v>
      </c>
      <c r="DQ9" s="9" t="s">
        <v>306</v>
      </c>
      <c r="DR9" s="9" t="s">
        <v>306</v>
      </c>
      <c r="DS9" s="9" t="s">
        <v>306</v>
      </c>
      <c r="DT9" s="10">
        <v>3.287671232876712E-2</v>
      </c>
      <c r="DU9" s="10">
        <v>3</v>
      </c>
      <c r="DV9" s="10">
        <f t="shared" si="0"/>
        <v>3.032876712328767</v>
      </c>
      <c r="DW9" s="9">
        <v>38</v>
      </c>
      <c r="DX9" s="9">
        <v>3</v>
      </c>
      <c r="DY9" s="9">
        <v>10</v>
      </c>
      <c r="DZ9" s="9">
        <v>0</v>
      </c>
      <c r="EA9" s="9">
        <v>20</v>
      </c>
      <c r="EB9" s="9">
        <v>10</v>
      </c>
      <c r="EC9" s="9">
        <v>1</v>
      </c>
      <c r="ED9" s="9">
        <v>0</v>
      </c>
      <c r="EE9" s="9">
        <v>1</v>
      </c>
      <c r="EF9" s="9">
        <v>0</v>
      </c>
      <c r="EG9" s="9">
        <v>0</v>
      </c>
      <c r="EH9" s="9">
        <v>5</v>
      </c>
      <c r="EI9" s="9">
        <v>0</v>
      </c>
      <c r="EJ9" s="9">
        <v>95</v>
      </c>
      <c r="EK9" s="9">
        <v>0</v>
      </c>
      <c r="EL9" s="9">
        <v>0</v>
      </c>
      <c r="EM9" s="9">
        <v>0</v>
      </c>
      <c r="EN9" s="9">
        <v>0</v>
      </c>
      <c r="EO9" s="9">
        <v>5</v>
      </c>
      <c r="EP9" s="9">
        <v>90</v>
      </c>
      <c r="EQ9" s="9">
        <v>0</v>
      </c>
      <c r="ER9" s="9">
        <v>5</v>
      </c>
      <c r="ES9" s="9">
        <v>0</v>
      </c>
      <c r="ET9" s="9">
        <v>0</v>
      </c>
      <c r="EU9" s="9">
        <v>0</v>
      </c>
      <c r="EV9" s="9" t="s">
        <v>317</v>
      </c>
      <c r="EW9" s="9" t="s">
        <v>306</v>
      </c>
      <c r="EX9" s="9" t="s">
        <v>306</v>
      </c>
      <c r="EY9" s="9" t="s">
        <v>318</v>
      </c>
      <c r="EZ9" s="9" t="s">
        <v>306</v>
      </c>
      <c r="FA9" s="9" t="s">
        <v>306</v>
      </c>
      <c r="FB9" s="9" t="s">
        <v>319</v>
      </c>
      <c r="FC9" s="9">
        <v>2</v>
      </c>
      <c r="FD9" s="9">
        <v>2</v>
      </c>
      <c r="FE9" s="9" t="s">
        <v>377</v>
      </c>
      <c r="FF9" s="9" t="s">
        <v>352</v>
      </c>
      <c r="FG9" s="9" t="s">
        <v>322</v>
      </c>
      <c r="FH9" s="9" t="s">
        <v>306</v>
      </c>
      <c r="FI9" s="9"/>
      <c r="FJ9" s="9"/>
      <c r="FK9" s="9"/>
      <c r="FL9" s="9"/>
      <c r="FM9" s="9"/>
      <c r="FN9" s="9"/>
      <c r="FO9" s="9" t="s">
        <v>306</v>
      </c>
      <c r="FP9" s="9"/>
      <c r="FQ9" s="9" t="s">
        <v>439</v>
      </c>
      <c r="FR9" s="9" t="s">
        <v>306</v>
      </c>
      <c r="FS9" s="9"/>
      <c r="FT9" s="9"/>
      <c r="FU9" s="9" t="s">
        <v>306</v>
      </c>
      <c r="FV9" s="9" t="s">
        <v>306</v>
      </c>
      <c r="FW9" s="9"/>
      <c r="FX9" s="9"/>
      <c r="FY9" s="9"/>
      <c r="FZ9" s="9" t="s">
        <v>323</v>
      </c>
      <c r="GA9" s="9" t="s">
        <v>324</v>
      </c>
      <c r="GB9" s="9" t="s">
        <v>306</v>
      </c>
      <c r="GC9" s="9" t="s">
        <v>306</v>
      </c>
      <c r="GD9" s="9"/>
      <c r="GE9" s="9"/>
      <c r="GF9" s="9"/>
      <c r="GG9" s="9"/>
      <c r="GH9" s="9"/>
      <c r="GI9" s="9" t="s">
        <v>440</v>
      </c>
      <c r="GJ9" s="9" t="s">
        <v>306</v>
      </c>
      <c r="GK9" s="9">
        <v>2.48</v>
      </c>
      <c r="GL9" s="9" t="s">
        <v>326</v>
      </c>
      <c r="GM9" s="9" t="s">
        <v>306</v>
      </c>
      <c r="GN9" s="9"/>
      <c r="GO9" s="9" t="s">
        <v>306</v>
      </c>
      <c r="GP9" s="9"/>
      <c r="GQ9" s="9"/>
      <c r="GR9" s="9" t="s">
        <v>306</v>
      </c>
      <c r="GS9" s="9">
        <v>25</v>
      </c>
      <c r="GT9" s="9" t="s">
        <v>441</v>
      </c>
      <c r="GU9" s="9"/>
      <c r="GV9" s="9" t="s">
        <v>306</v>
      </c>
      <c r="GW9" s="9"/>
      <c r="GX9" s="9" t="s">
        <v>306</v>
      </c>
      <c r="GY9" s="9" t="s">
        <v>306</v>
      </c>
      <c r="GZ9" s="9"/>
      <c r="HA9" s="9"/>
      <c r="HB9" s="9"/>
      <c r="HC9" s="9"/>
      <c r="HD9" s="9"/>
      <c r="HE9" s="9"/>
      <c r="HF9" s="9" t="s">
        <v>358</v>
      </c>
      <c r="HG9" s="9"/>
      <c r="HH9" s="9"/>
      <c r="HI9" s="9" t="s">
        <v>306</v>
      </c>
      <c r="HJ9" s="9"/>
      <c r="HK9" s="9"/>
      <c r="HL9" s="9"/>
      <c r="HM9" s="9"/>
      <c r="HN9" s="9"/>
      <c r="HO9" s="9" t="s">
        <v>306</v>
      </c>
      <c r="HP9" s="9"/>
      <c r="HQ9" s="9"/>
      <c r="HR9" s="9">
        <v>0</v>
      </c>
      <c r="HS9" s="9">
        <v>100</v>
      </c>
      <c r="HT9" s="9">
        <v>0</v>
      </c>
      <c r="HU9" s="9">
        <v>0</v>
      </c>
      <c r="HV9" s="9">
        <v>0</v>
      </c>
      <c r="HW9" s="9" t="s">
        <v>442</v>
      </c>
      <c r="HX9" s="9" t="s">
        <v>306</v>
      </c>
      <c r="HY9" s="9" t="s">
        <v>306</v>
      </c>
      <c r="HZ9" s="9" t="s">
        <v>306</v>
      </c>
      <c r="IA9" s="9"/>
      <c r="IB9" s="9" t="s">
        <v>306</v>
      </c>
      <c r="IC9" s="9"/>
      <c r="ID9" s="9" t="s">
        <v>306</v>
      </c>
      <c r="IE9" s="9" t="s">
        <v>306</v>
      </c>
      <c r="IF9" s="9"/>
      <c r="IG9" s="9"/>
      <c r="IH9" s="9" t="s">
        <v>330</v>
      </c>
      <c r="II9" s="9" t="s">
        <v>331</v>
      </c>
      <c r="IJ9" s="9" t="s">
        <v>443</v>
      </c>
      <c r="IK9" s="9" t="s">
        <v>306</v>
      </c>
      <c r="IL9" s="9"/>
      <c r="IM9" s="9" t="s">
        <v>306</v>
      </c>
      <c r="IN9" s="9"/>
      <c r="IO9" s="9"/>
      <c r="IP9" s="9"/>
      <c r="IQ9" s="9"/>
      <c r="IR9" s="9"/>
      <c r="IS9" s="9"/>
      <c r="IT9" s="9" t="s">
        <v>306</v>
      </c>
      <c r="IU9" s="9" t="s">
        <v>385</v>
      </c>
      <c r="IV9" s="9" t="s">
        <v>444</v>
      </c>
      <c r="IW9" s="9"/>
      <c r="IX9" s="9" t="s">
        <v>306</v>
      </c>
      <c r="IY9" s="9" t="s">
        <v>306</v>
      </c>
      <c r="IZ9" s="9"/>
      <c r="JA9" s="9"/>
      <c r="JB9" s="9">
        <v>0</v>
      </c>
      <c r="JC9" s="9">
        <v>3</v>
      </c>
      <c r="JD9" s="9">
        <v>110</v>
      </c>
      <c r="JE9" s="9">
        <v>23</v>
      </c>
      <c r="JF9" s="9">
        <v>13</v>
      </c>
      <c r="JG9" s="9">
        <v>3</v>
      </c>
      <c r="JH9" s="9">
        <v>6</v>
      </c>
      <c r="JI9" s="9" t="s">
        <v>433</v>
      </c>
      <c r="JJ9" s="9" t="s">
        <v>306</v>
      </c>
      <c r="JK9" s="9" t="s">
        <v>306</v>
      </c>
      <c r="JL9" s="9"/>
      <c r="JM9" s="9" t="s">
        <v>306</v>
      </c>
      <c r="JN9" s="9" t="s">
        <v>306</v>
      </c>
      <c r="JO9" s="9" t="s">
        <v>306</v>
      </c>
      <c r="JP9" s="9" t="s">
        <v>306</v>
      </c>
      <c r="JQ9" s="9" t="s">
        <v>306</v>
      </c>
      <c r="JR9" s="9" t="s">
        <v>306</v>
      </c>
      <c r="JS9" s="9" t="s">
        <v>306</v>
      </c>
      <c r="JT9" s="9" t="s">
        <v>362</v>
      </c>
      <c r="JU9" s="9" t="s">
        <v>306</v>
      </c>
      <c r="JV9" s="9" t="s">
        <v>306</v>
      </c>
      <c r="JW9" s="9" t="s">
        <v>306</v>
      </c>
      <c r="JX9" s="9"/>
      <c r="JY9" s="9"/>
      <c r="JZ9" s="9" t="s">
        <v>306</v>
      </c>
      <c r="KA9" s="9" t="s">
        <v>306</v>
      </c>
      <c r="KB9" s="9" t="s">
        <v>267</v>
      </c>
      <c r="KC9" s="9"/>
      <c r="KD9" s="9" t="s">
        <v>306</v>
      </c>
      <c r="KE9" s="9"/>
      <c r="KF9" s="9"/>
      <c r="KG9" s="9" t="s">
        <v>337</v>
      </c>
      <c r="KH9" s="9" t="s">
        <v>338</v>
      </c>
      <c r="KI9" s="9" t="s">
        <v>339</v>
      </c>
      <c r="KJ9" s="9" t="s">
        <v>306</v>
      </c>
      <c r="KK9" s="9" t="s">
        <v>445</v>
      </c>
      <c r="KL9" s="9"/>
      <c r="KM9" s="9" t="s">
        <v>306</v>
      </c>
      <c r="KN9" s="9"/>
      <c r="KO9" s="9" t="s">
        <v>306</v>
      </c>
      <c r="KP9" s="9"/>
      <c r="KQ9" s="9"/>
      <c r="KR9" s="9"/>
      <c r="KS9" s="9"/>
      <c r="KT9" s="9"/>
      <c r="KU9" s="9">
        <v>0.6</v>
      </c>
      <c r="KV9" s="9">
        <v>2.75</v>
      </c>
      <c r="KW9" s="9">
        <v>2.2999999999999998</v>
      </c>
      <c r="KX9" s="9">
        <v>2.5</v>
      </c>
      <c r="KY9" s="9" t="s">
        <v>365</v>
      </c>
      <c r="KZ9" s="9" t="s">
        <v>306</v>
      </c>
      <c r="LA9" s="9" t="s">
        <v>306</v>
      </c>
      <c r="LB9" s="9" t="s">
        <v>306</v>
      </c>
      <c r="LC9" s="9" t="s">
        <v>306</v>
      </c>
      <c r="LD9" s="9" t="s">
        <v>306</v>
      </c>
      <c r="LE9" s="9"/>
      <c r="LF9" s="9"/>
      <c r="LG9" s="9" t="s">
        <v>341</v>
      </c>
      <c r="LH9" s="9" t="s">
        <v>341</v>
      </c>
      <c r="LI9" s="9" t="s">
        <v>341</v>
      </c>
      <c r="LJ9" s="9" t="s">
        <v>307</v>
      </c>
      <c r="LK9" s="9" t="s">
        <v>423</v>
      </c>
    </row>
    <row r="10" spans="1:323" x14ac:dyDescent="0.3">
      <c r="A10" s="8"/>
      <c r="B10" s="9" t="s">
        <v>488</v>
      </c>
      <c r="C10" s="9" t="s">
        <v>302</v>
      </c>
      <c r="D10" s="9" t="s">
        <v>631</v>
      </c>
      <c r="E10" s="9" t="s">
        <v>343</v>
      </c>
      <c r="F10" s="9" t="s">
        <v>303</v>
      </c>
      <c r="G10" s="9" t="s">
        <v>304</v>
      </c>
      <c r="H10" s="9" t="s">
        <v>304</v>
      </c>
      <c r="I10" s="9" t="s">
        <v>370</v>
      </c>
      <c r="J10" s="9" t="s">
        <v>410</v>
      </c>
      <c r="K10" s="9" t="s">
        <v>306</v>
      </c>
      <c r="L10" s="9" t="s">
        <v>306</v>
      </c>
      <c r="M10" s="9" t="s">
        <v>306</v>
      </c>
      <c r="N10" s="9" t="s">
        <v>306</v>
      </c>
      <c r="O10" s="9" t="s">
        <v>306</v>
      </c>
      <c r="P10" s="9"/>
      <c r="Q10" s="9"/>
      <c r="R10" s="9" t="s">
        <v>306</v>
      </c>
      <c r="S10" s="9">
        <v>60</v>
      </c>
      <c r="T10" s="9">
        <v>24</v>
      </c>
      <c r="U10" s="9" t="s">
        <v>308</v>
      </c>
      <c r="V10" s="9" t="s">
        <v>372</v>
      </c>
      <c r="W10" s="9" t="s">
        <v>310</v>
      </c>
      <c r="X10" s="10">
        <v>60</v>
      </c>
      <c r="Y10" s="10">
        <v>40</v>
      </c>
      <c r="Z10" s="10">
        <v>0</v>
      </c>
      <c r="AA10" s="10">
        <v>0</v>
      </c>
      <c r="AB10" s="10">
        <v>0</v>
      </c>
      <c r="AC10" s="10">
        <v>0</v>
      </c>
      <c r="AD10" s="10">
        <v>90</v>
      </c>
      <c r="AE10" s="10">
        <v>10</v>
      </c>
      <c r="AF10" s="10">
        <v>0</v>
      </c>
      <c r="AG10" s="10">
        <v>0</v>
      </c>
      <c r="AH10" s="10">
        <v>0</v>
      </c>
      <c r="AI10" s="9" t="s">
        <v>307</v>
      </c>
      <c r="AJ10" s="9">
        <v>10</v>
      </c>
      <c r="AK10" s="9">
        <v>0</v>
      </c>
      <c r="AL10" s="9">
        <v>0</v>
      </c>
      <c r="AM10" s="9">
        <v>0</v>
      </c>
      <c r="AN10" s="9">
        <v>90</v>
      </c>
      <c r="AO10" s="9">
        <v>95</v>
      </c>
      <c r="AP10" s="9">
        <v>5</v>
      </c>
      <c r="AQ10" s="9">
        <v>0</v>
      </c>
      <c r="AR10" s="9" t="s">
        <v>50</v>
      </c>
      <c r="AS10" s="9"/>
      <c r="AT10" s="9"/>
      <c r="AU10" s="9"/>
      <c r="AV10" s="9"/>
      <c r="AW10" s="9"/>
      <c r="AX10" s="9"/>
      <c r="AY10" s="9"/>
      <c r="AZ10" s="9"/>
      <c r="BA10" s="9"/>
      <c r="BB10" s="9" t="s">
        <v>306</v>
      </c>
      <c r="BC10" s="9" t="s">
        <v>400</v>
      </c>
      <c r="BD10" s="9" t="s">
        <v>306</v>
      </c>
      <c r="BE10" s="9" t="s">
        <v>54</v>
      </c>
      <c r="BF10" s="9" t="s">
        <v>306</v>
      </c>
      <c r="BG10" s="9"/>
      <c r="BH10" s="9"/>
      <c r="BI10" s="9"/>
      <c r="BJ10" s="9"/>
      <c r="BK10" s="9"/>
      <c r="BL10" s="9"/>
      <c r="BM10" s="9"/>
      <c r="BN10" s="9"/>
      <c r="BO10" s="9" t="s">
        <v>65</v>
      </c>
      <c r="BP10" s="9"/>
      <c r="BQ10" s="9" t="s">
        <v>306</v>
      </c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 t="s">
        <v>446</v>
      </c>
      <c r="CC10" s="9" t="s">
        <v>306</v>
      </c>
      <c r="CD10" s="9" t="s">
        <v>306</v>
      </c>
      <c r="CE10" s="9" t="s">
        <v>306</v>
      </c>
      <c r="CF10" s="9"/>
      <c r="CG10" s="9"/>
      <c r="CH10" s="9"/>
      <c r="CI10" s="9"/>
      <c r="CJ10" s="9"/>
      <c r="CK10" s="9"/>
      <c r="CL10" s="9" t="s">
        <v>314</v>
      </c>
      <c r="CM10" s="9" t="s">
        <v>315</v>
      </c>
      <c r="CN10" s="9" t="s">
        <v>307</v>
      </c>
      <c r="CO10" s="9" t="s">
        <v>92</v>
      </c>
      <c r="CP10" s="9"/>
      <c r="CQ10" s="9"/>
      <c r="CR10" s="9"/>
      <c r="CS10" s="9"/>
      <c r="CT10" s="9"/>
      <c r="CU10" s="9"/>
      <c r="CV10" s="9" t="s">
        <v>306</v>
      </c>
      <c r="CW10" s="9" t="s">
        <v>447</v>
      </c>
      <c r="CX10" s="9" t="s">
        <v>306</v>
      </c>
      <c r="CY10" s="9"/>
      <c r="CZ10" s="9"/>
      <c r="DA10" s="9"/>
      <c r="DB10" s="9" t="s">
        <v>306</v>
      </c>
      <c r="DC10" s="9"/>
      <c r="DD10" s="11">
        <v>1300</v>
      </c>
      <c r="DE10" s="11">
        <v>1300</v>
      </c>
      <c r="DF10" s="11">
        <v>1300</v>
      </c>
      <c r="DG10" s="12">
        <v>22</v>
      </c>
      <c r="DH10" s="9">
        <v>22</v>
      </c>
      <c r="DI10" s="9">
        <v>22</v>
      </c>
      <c r="DJ10" s="9">
        <v>94</v>
      </c>
      <c r="DK10" s="9">
        <v>0</v>
      </c>
      <c r="DL10" s="9">
        <v>0</v>
      </c>
      <c r="DM10" s="9">
        <v>0</v>
      </c>
      <c r="DN10" s="9">
        <v>6</v>
      </c>
      <c r="DO10" s="9">
        <v>80.599999999999994</v>
      </c>
      <c r="DP10" s="9">
        <v>50</v>
      </c>
      <c r="DQ10" s="9" t="s">
        <v>306</v>
      </c>
      <c r="DR10" s="9" t="s">
        <v>306</v>
      </c>
      <c r="DS10" s="9" t="s">
        <v>307</v>
      </c>
      <c r="DT10" s="10">
        <v>9.8630136986301367E-2</v>
      </c>
      <c r="DU10" s="10">
        <v>5</v>
      </c>
      <c r="DV10" s="10">
        <f t="shared" si="0"/>
        <v>5.0986301369863014</v>
      </c>
      <c r="DW10" s="9">
        <v>64</v>
      </c>
      <c r="DX10" s="9">
        <v>14</v>
      </c>
      <c r="DY10" s="9">
        <v>8</v>
      </c>
      <c r="DZ10" s="9">
        <v>2</v>
      </c>
      <c r="EA10" s="9">
        <v>47</v>
      </c>
      <c r="EB10" s="9">
        <v>22</v>
      </c>
      <c r="EC10" s="9">
        <v>12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100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80</v>
      </c>
      <c r="EQ10" s="9">
        <v>20</v>
      </c>
      <c r="ER10" s="9">
        <v>0</v>
      </c>
      <c r="ES10" s="9">
        <v>0</v>
      </c>
      <c r="ET10" s="9">
        <v>0</v>
      </c>
      <c r="EU10" s="9">
        <v>0</v>
      </c>
      <c r="EV10" s="9" t="s">
        <v>317</v>
      </c>
      <c r="EW10" s="9" t="s">
        <v>306</v>
      </c>
      <c r="EX10" s="9" t="s">
        <v>306</v>
      </c>
      <c r="EY10" s="9" t="s">
        <v>318</v>
      </c>
      <c r="EZ10" s="9" t="s">
        <v>306</v>
      </c>
      <c r="FA10" s="9" t="s">
        <v>306</v>
      </c>
      <c r="FB10" s="9" t="s">
        <v>319</v>
      </c>
      <c r="FC10" s="9">
        <v>2</v>
      </c>
      <c r="FD10" s="9">
        <v>2</v>
      </c>
      <c r="FE10" s="9" t="s">
        <v>377</v>
      </c>
      <c r="FF10" s="9" t="s">
        <v>352</v>
      </c>
      <c r="FG10" s="9" t="s">
        <v>156</v>
      </c>
      <c r="FH10" s="9" t="s">
        <v>306</v>
      </c>
      <c r="FI10" s="9"/>
      <c r="FJ10" s="9"/>
      <c r="FK10" s="9"/>
      <c r="FL10" s="9"/>
      <c r="FM10" s="9"/>
      <c r="FN10" s="9"/>
      <c r="FO10" s="9"/>
      <c r="FP10" s="9"/>
      <c r="FQ10" s="9" t="s">
        <v>439</v>
      </c>
      <c r="FR10" s="9" t="s">
        <v>306</v>
      </c>
      <c r="FS10" s="9"/>
      <c r="FT10" s="9"/>
      <c r="FU10" s="9" t="s">
        <v>306</v>
      </c>
      <c r="FV10" s="9" t="s">
        <v>306</v>
      </c>
      <c r="FW10" s="9"/>
      <c r="FX10" s="9"/>
      <c r="FY10" s="9"/>
      <c r="FZ10" s="9" t="s">
        <v>378</v>
      </c>
      <c r="GA10" s="9" t="s">
        <v>403</v>
      </c>
      <c r="GB10" s="9" t="s">
        <v>306</v>
      </c>
      <c r="GC10" s="9" t="s">
        <v>306</v>
      </c>
      <c r="GD10" s="9" t="s">
        <v>306</v>
      </c>
      <c r="GE10" s="9"/>
      <c r="GF10" s="9"/>
      <c r="GG10" s="9"/>
      <c r="GH10" s="9"/>
      <c r="GI10" s="9" t="s">
        <v>440</v>
      </c>
      <c r="GJ10" s="9" t="s">
        <v>306</v>
      </c>
      <c r="GK10" s="9">
        <v>2.21</v>
      </c>
      <c r="GL10" s="9" t="s">
        <v>187</v>
      </c>
      <c r="GM10" s="9" t="s">
        <v>306</v>
      </c>
      <c r="GN10" s="9"/>
      <c r="GO10" s="9"/>
      <c r="GP10" s="9"/>
      <c r="GQ10" s="9"/>
      <c r="GR10" s="9"/>
      <c r="GS10" s="9">
        <v>84</v>
      </c>
      <c r="GT10" s="9" t="s">
        <v>448</v>
      </c>
      <c r="GU10" s="9"/>
      <c r="GV10" s="9" t="s">
        <v>306</v>
      </c>
      <c r="GW10" s="9"/>
      <c r="GX10" s="9" t="s">
        <v>306</v>
      </c>
      <c r="GY10" s="9" t="s">
        <v>306</v>
      </c>
      <c r="GZ10" s="9"/>
      <c r="HA10" s="9" t="s">
        <v>306</v>
      </c>
      <c r="HB10" s="9"/>
      <c r="HC10" s="9"/>
      <c r="HD10" s="9"/>
      <c r="HE10" s="9"/>
      <c r="HF10" s="9" t="s">
        <v>197</v>
      </c>
      <c r="HG10" s="9"/>
      <c r="HH10" s="9"/>
      <c r="HI10" s="9" t="s">
        <v>306</v>
      </c>
      <c r="HJ10" s="9"/>
      <c r="HK10" s="9"/>
      <c r="HL10" s="9"/>
      <c r="HM10" s="9"/>
      <c r="HN10" s="9"/>
      <c r="HO10" s="9"/>
      <c r="HP10" s="9"/>
      <c r="HQ10" s="9"/>
      <c r="HR10" s="9">
        <v>0</v>
      </c>
      <c r="HS10" s="9">
        <v>100</v>
      </c>
      <c r="HT10" s="9">
        <v>0</v>
      </c>
      <c r="HU10" s="9">
        <v>0</v>
      </c>
      <c r="HV10" s="9">
        <v>0</v>
      </c>
      <c r="HW10" s="9" t="s">
        <v>359</v>
      </c>
      <c r="HX10" s="9" t="s">
        <v>306</v>
      </c>
      <c r="HY10" s="9"/>
      <c r="HZ10" s="9"/>
      <c r="IA10" s="9"/>
      <c r="IB10" s="9" t="s">
        <v>306</v>
      </c>
      <c r="IC10" s="9"/>
      <c r="ID10" s="9"/>
      <c r="IE10" s="9" t="s">
        <v>306</v>
      </c>
      <c r="IF10" s="9"/>
      <c r="IG10" s="9"/>
      <c r="IH10" s="9" t="s">
        <v>330</v>
      </c>
      <c r="II10" s="9" t="s">
        <v>331</v>
      </c>
      <c r="IJ10" s="9" t="s">
        <v>449</v>
      </c>
      <c r="IK10" s="9" t="s">
        <v>306</v>
      </c>
      <c r="IL10" s="9"/>
      <c r="IM10" s="9" t="s">
        <v>306</v>
      </c>
      <c r="IN10" s="9" t="s">
        <v>306</v>
      </c>
      <c r="IO10" s="9" t="s">
        <v>306</v>
      </c>
      <c r="IP10" s="9" t="s">
        <v>306</v>
      </c>
      <c r="IQ10" s="9"/>
      <c r="IR10" s="9" t="s">
        <v>306</v>
      </c>
      <c r="IS10" s="9"/>
      <c r="IT10" s="9" t="s">
        <v>306</v>
      </c>
      <c r="IU10" s="9" t="s">
        <v>333</v>
      </c>
      <c r="IV10" s="9" t="s">
        <v>450</v>
      </c>
      <c r="IW10" s="9" t="s">
        <v>306</v>
      </c>
      <c r="IX10" s="9" t="s">
        <v>306</v>
      </c>
      <c r="IY10" s="9"/>
      <c r="IZ10" s="9"/>
      <c r="JA10" s="9"/>
      <c r="JB10" s="9">
        <v>1</v>
      </c>
      <c r="JC10" s="9">
        <v>2.5</v>
      </c>
      <c r="JD10" s="9">
        <v>120</v>
      </c>
      <c r="JE10" s="9">
        <v>29.6</v>
      </c>
      <c r="JF10" s="9">
        <v>15.5</v>
      </c>
      <c r="JG10" s="9">
        <v>3</v>
      </c>
      <c r="JH10" s="9">
        <v>3</v>
      </c>
      <c r="JI10" s="9" t="s">
        <v>451</v>
      </c>
      <c r="JJ10" s="9" t="s">
        <v>306</v>
      </c>
      <c r="JK10" s="9" t="s">
        <v>306</v>
      </c>
      <c r="JL10" s="9"/>
      <c r="JM10" s="9" t="s">
        <v>306</v>
      </c>
      <c r="JN10" s="9" t="s">
        <v>306</v>
      </c>
      <c r="JO10" s="9"/>
      <c r="JP10" s="9" t="s">
        <v>306</v>
      </c>
      <c r="JQ10" s="9" t="s">
        <v>306</v>
      </c>
      <c r="JR10" s="9" t="s">
        <v>306</v>
      </c>
      <c r="JS10" s="9" t="s">
        <v>306</v>
      </c>
      <c r="JT10" s="9" t="s">
        <v>452</v>
      </c>
      <c r="JU10" s="9" t="s">
        <v>306</v>
      </c>
      <c r="JV10" s="9" t="s">
        <v>306</v>
      </c>
      <c r="JW10" s="9" t="s">
        <v>306</v>
      </c>
      <c r="JX10" s="9" t="s">
        <v>306</v>
      </c>
      <c r="JY10" s="9" t="s">
        <v>306</v>
      </c>
      <c r="JZ10" s="9"/>
      <c r="KA10" s="9"/>
      <c r="KB10" s="9" t="s">
        <v>363</v>
      </c>
      <c r="KC10" s="9" t="s">
        <v>306</v>
      </c>
      <c r="KD10" s="9" t="s">
        <v>306</v>
      </c>
      <c r="KE10" s="9"/>
      <c r="KF10" s="9"/>
      <c r="KG10" s="9" t="s">
        <v>337</v>
      </c>
      <c r="KH10" s="9" t="s">
        <v>338</v>
      </c>
      <c r="KI10" s="9" t="s">
        <v>339</v>
      </c>
      <c r="KJ10" s="9" t="s">
        <v>306</v>
      </c>
      <c r="KK10" s="9" t="s">
        <v>453</v>
      </c>
      <c r="KL10" s="9" t="s">
        <v>306</v>
      </c>
      <c r="KM10" s="9"/>
      <c r="KN10" s="9" t="s">
        <v>306</v>
      </c>
      <c r="KO10" s="9" t="s">
        <v>306</v>
      </c>
      <c r="KP10" s="9"/>
      <c r="KQ10" s="9"/>
      <c r="KR10" s="9"/>
      <c r="KS10" s="9"/>
      <c r="KT10" s="9"/>
      <c r="KU10" s="9">
        <v>24</v>
      </c>
      <c r="KV10" s="9">
        <v>3.25</v>
      </c>
      <c r="KW10" s="9">
        <v>2.8</v>
      </c>
      <c r="KX10" s="9">
        <v>3.25</v>
      </c>
      <c r="KY10" s="9" t="s">
        <v>365</v>
      </c>
      <c r="KZ10" s="9" t="s">
        <v>306</v>
      </c>
      <c r="LA10" s="9" t="s">
        <v>306</v>
      </c>
      <c r="LB10" s="9" t="s">
        <v>306</v>
      </c>
      <c r="LC10" s="9" t="s">
        <v>306</v>
      </c>
      <c r="LD10" s="9" t="s">
        <v>306</v>
      </c>
      <c r="LE10" s="9"/>
      <c r="LF10" s="9"/>
      <c r="LG10" s="9" t="s">
        <v>341</v>
      </c>
      <c r="LH10" s="9" t="s">
        <v>341</v>
      </c>
      <c r="LI10" s="9" t="s">
        <v>454</v>
      </c>
      <c r="LJ10" s="9" t="s">
        <v>306</v>
      </c>
      <c r="LK10" s="9" t="s">
        <v>342</v>
      </c>
    </row>
    <row r="11" spans="1:323" x14ac:dyDescent="0.3">
      <c r="A11" s="8"/>
      <c r="B11" s="9" t="s">
        <v>548</v>
      </c>
      <c r="C11" s="9" t="s">
        <v>302</v>
      </c>
      <c r="D11" s="9" t="s">
        <v>632</v>
      </c>
      <c r="E11" s="9" t="s">
        <v>301</v>
      </c>
      <c r="F11" s="9" t="s">
        <v>368</v>
      </c>
      <c r="G11" s="9" t="s">
        <v>304</v>
      </c>
      <c r="H11" s="9" t="s">
        <v>369</v>
      </c>
      <c r="I11" s="9" t="s">
        <v>370</v>
      </c>
      <c r="J11" s="9" t="s">
        <v>410</v>
      </c>
      <c r="K11" s="9" t="s">
        <v>306</v>
      </c>
      <c r="L11" s="9" t="s">
        <v>306</v>
      </c>
      <c r="M11" s="9" t="s">
        <v>306</v>
      </c>
      <c r="N11" s="9" t="s">
        <v>306</v>
      </c>
      <c r="O11" s="9" t="s">
        <v>306</v>
      </c>
      <c r="P11" s="9"/>
      <c r="Q11" s="9"/>
      <c r="R11" s="9" t="s">
        <v>306</v>
      </c>
      <c r="S11" s="9">
        <v>36</v>
      </c>
      <c r="T11" s="9">
        <v>1</v>
      </c>
      <c r="U11" s="9" t="s">
        <v>308</v>
      </c>
      <c r="V11" s="9" t="s">
        <v>455</v>
      </c>
      <c r="W11" s="9" t="s">
        <v>310</v>
      </c>
      <c r="X11" s="10">
        <v>0</v>
      </c>
      <c r="Y11" s="10">
        <v>100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100</v>
      </c>
      <c r="AH11" s="10">
        <v>0</v>
      </c>
      <c r="AI11" s="9" t="s">
        <v>307</v>
      </c>
      <c r="AJ11" s="9">
        <v>100</v>
      </c>
      <c r="AK11" s="9">
        <v>0</v>
      </c>
      <c r="AL11" s="9">
        <v>0</v>
      </c>
      <c r="AM11" s="9">
        <v>0</v>
      </c>
      <c r="AN11" s="9">
        <v>0</v>
      </c>
      <c r="AO11" s="9">
        <v>80</v>
      </c>
      <c r="AP11" s="9">
        <v>20</v>
      </c>
      <c r="AQ11" s="9">
        <v>0</v>
      </c>
      <c r="AR11" s="9" t="s">
        <v>44</v>
      </c>
      <c r="AS11" s="9"/>
      <c r="AT11" s="9"/>
      <c r="AU11" s="9"/>
      <c r="AV11" s="9" t="s">
        <v>306</v>
      </c>
      <c r="AW11" s="9"/>
      <c r="AX11" s="9"/>
      <c r="AY11" s="9"/>
      <c r="AZ11" s="9"/>
      <c r="BA11" s="9"/>
      <c r="BB11" s="9"/>
      <c r="BC11" s="9" t="s">
        <v>311</v>
      </c>
      <c r="BD11" s="9" t="s">
        <v>307</v>
      </c>
      <c r="BE11" s="9" t="s">
        <v>456</v>
      </c>
      <c r="BF11" s="9"/>
      <c r="BG11" s="9" t="s">
        <v>306</v>
      </c>
      <c r="BH11" s="9" t="s">
        <v>306</v>
      </c>
      <c r="BI11" s="9"/>
      <c r="BJ11" s="9"/>
      <c r="BK11" s="9" t="s">
        <v>306</v>
      </c>
      <c r="BL11" s="9"/>
      <c r="BM11" s="9"/>
      <c r="BN11" s="9"/>
      <c r="BO11" s="9" t="s">
        <v>457</v>
      </c>
      <c r="BP11" s="9"/>
      <c r="BQ11" s="9"/>
      <c r="BR11" s="9" t="s">
        <v>306</v>
      </c>
      <c r="BS11" s="9"/>
      <c r="BT11" s="9"/>
      <c r="BU11" s="9"/>
      <c r="BV11" s="9"/>
      <c r="BW11" s="9" t="s">
        <v>306</v>
      </c>
      <c r="BX11" s="9"/>
      <c r="BY11" s="9"/>
      <c r="BZ11" s="9"/>
      <c r="CA11" s="9"/>
      <c r="CB11" s="9" t="s">
        <v>458</v>
      </c>
      <c r="CC11" s="9"/>
      <c r="CD11" s="9"/>
      <c r="CE11" s="9" t="s">
        <v>306</v>
      </c>
      <c r="CF11" s="9" t="s">
        <v>306</v>
      </c>
      <c r="CG11" s="9"/>
      <c r="CH11" s="9"/>
      <c r="CI11" s="9"/>
      <c r="CJ11" s="9" t="s">
        <v>306</v>
      </c>
      <c r="CK11" s="9"/>
      <c r="CL11" s="9" t="s">
        <v>314</v>
      </c>
      <c r="CM11" s="9" t="s">
        <v>62</v>
      </c>
      <c r="CN11" s="9" t="s">
        <v>306</v>
      </c>
      <c r="CO11" s="9" t="s">
        <v>44</v>
      </c>
      <c r="CP11" s="9"/>
      <c r="CQ11" s="9"/>
      <c r="CR11" s="9" t="s">
        <v>306</v>
      </c>
      <c r="CS11" s="9"/>
      <c r="CT11" s="9"/>
      <c r="CU11" s="9"/>
      <c r="CV11" s="9"/>
      <c r="CW11" s="9" t="s">
        <v>99</v>
      </c>
      <c r="CX11" s="9"/>
      <c r="CY11" s="9"/>
      <c r="CZ11" s="9"/>
      <c r="DA11" s="9"/>
      <c r="DB11" s="9"/>
      <c r="DC11" s="9" t="s">
        <v>306</v>
      </c>
      <c r="DD11" s="11">
        <v>500</v>
      </c>
      <c r="DE11" s="11">
        <v>500</v>
      </c>
      <c r="DF11" s="11">
        <v>500</v>
      </c>
      <c r="DG11" s="12">
        <v>16.833333333333332</v>
      </c>
      <c r="DH11" s="9">
        <v>16</v>
      </c>
      <c r="DI11" s="9">
        <v>18</v>
      </c>
      <c r="DJ11" s="9">
        <v>85</v>
      </c>
      <c r="DK11" s="9">
        <v>0</v>
      </c>
      <c r="DL11" s="9">
        <v>0</v>
      </c>
      <c r="DM11" s="9">
        <v>0</v>
      </c>
      <c r="DN11" s="9">
        <v>15</v>
      </c>
      <c r="DO11" s="9"/>
      <c r="DP11" s="9">
        <v>30</v>
      </c>
      <c r="DQ11" s="9" t="s">
        <v>306</v>
      </c>
      <c r="DR11" s="9" t="s">
        <v>306</v>
      </c>
      <c r="DS11" s="9" t="s">
        <v>307</v>
      </c>
      <c r="DT11" s="10">
        <v>0.92054794520547945</v>
      </c>
      <c r="DU11" s="10">
        <v>3</v>
      </c>
      <c r="DV11" s="10">
        <f t="shared" si="0"/>
        <v>3.9205479452054792</v>
      </c>
      <c r="DW11" s="9">
        <v>41</v>
      </c>
      <c r="DX11" s="9">
        <v>8</v>
      </c>
      <c r="DY11" s="9">
        <v>1</v>
      </c>
      <c r="DZ11" s="9">
        <v>6</v>
      </c>
      <c r="EA11" s="9">
        <v>22</v>
      </c>
      <c r="EB11" s="9">
        <v>19</v>
      </c>
      <c r="EC11" s="9">
        <v>17</v>
      </c>
      <c r="ED11" s="9">
        <v>1</v>
      </c>
      <c r="EE11" s="9">
        <v>7</v>
      </c>
      <c r="EF11" s="9">
        <v>0</v>
      </c>
      <c r="EG11" s="9">
        <v>0</v>
      </c>
      <c r="EH11" s="9">
        <v>30</v>
      </c>
      <c r="EI11" s="9">
        <v>0</v>
      </c>
      <c r="EJ11" s="9">
        <v>70</v>
      </c>
      <c r="EK11" s="9">
        <v>0</v>
      </c>
      <c r="EL11" s="9">
        <v>0</v>
      </c>
      <c r="EM11" s="9">
        <v>0</v>
      </c>
      <c r="EN11" s="9">
        <v>50</v>
      </c>
      <c r="EO11" s="9">
        <v>50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 t="s">
        <v>317</v>
      </c>
      <c r="EW11" s="9" t="s">
        <v>306</v>
      </c>
      <c r="EX11" s="9" t="s">
        <v>306</v>
      </c>
      <c r="EY11" s="9" t="s">
        <v>459</v>
      </c>
      <c r="EZ11" s="9" t="s">
        <v>306</v>
      </c>
      <c r="FA11" s="9" t="s">
        <v>306</v>
      </c>
      <c r="FB11" s="9" t="s">
        <v>319</v>
      </c>
      <c r="FC11" s="9">
        <v>2</v>
      </c>
      <c r="FD11" s="9">
        <v>2</v>
      </c>
      <c r="FE11" s="9" t="s">
        <v>377</v>
      </c>
      <c r="FF11" s="9" t="s">
        <v>352</v>
      </c>
      <c r="FG11" s="9" t="s">
        <v>390</v>
      </c>
      <c r="FH11" s="9" t="s">
        <v>306</v>
      </c>
      <c r="FI11" s="9" t="s">
        <v>306</v>
      </c>
      <c r="FJ11" s="9"/>
      <c r="FK11" s="9"/>
      <c r="FL11" s="9"/>
      <c r="FM11" s="9"/>
      <c r="FN11" s="9"/>
      <c r="FO11" s="9" t="s">
        <v>306</v>
      </c>
      <c r="FP11" s="9"/>
      <c r="FQ11" s="9" t="s">
        <v>391</v>
      </c>
      <c r="FR11" s="9" t="s">
        <v>306</v>
      </c>
      <c r="FS11" s="9"/>
      <c r="FT11" s="9"/>
      <c r="FU11" s="9" t="s">
        <v>306</v>
      </c>
      <c r="FV11" s="9" t="s">
        <v>306</v>
      </c>
      <c r="FW11" s="9" t="s">
        <v>306</v>
      </c>
      <c r="FX11" s="9"/>
      <c r="FY11" s="9"/>
      <c r="FZ11" s="9" t="s">
        <v>378</v>
      </c>
      <c r="GA11" s="9" t="s">
        <v>460</v>
      </c>
      <c r="GB11" s="9" t="s">
        <v>306</v>
      </c>
      <c r="GC11" s="9" t="s">
        <v>306</v>
      </c>
      <c r="GD11" s="9" t="s">
        <v>306</v>
      </c>
      <c r="GE11" s="9" t="s">
        <v>306</v>
      </c>
      <c r="GF11" s="9"/>
      <c r="GG11" s="9" t="s">
        <v>306</v>
      </c>
      <c r="GH11" s="9"/>
      <c r="GI11" s="9" t="s">
        <v>325</v>
      </c>
      <c r="GJ11" s="9" t="s">
        <v>306</v>
      </c>
      <c r="GK11" s="9">
        <v>2.7</v>
      </c>
      <c r="GL11" s="9" t="s">
        <v>187</v>
      </c>
      <c r="GM11" s="9" t="s">
        <v>306</v>
      </c>
      <c r="GN11" s="9"/>
      <c r="GO11" s="9"/>
      <c r="GP11" s="9"/>
      <c r="GQ11" s="9"/>
      <c r="GR11" s="9"/>
      <c r="GS11" s="9">
        <v>24</v>
      </c>
      <c r="GT11" s="9" t="s">
        <v>461</v>
      </c>
      <c r="GU11" s="9" t="s">
        <v>306</v>
      </c>
      <c r="GV11" s="9"/>
      <c r="GW11" s="9"/>
      <c r="GX11" s="9"/>
      <c r="GY11" s="9" t="s">
        <v>306</v>
      </c>
      <c r="GZ11" s="9" t="s">
        <v>306</v>
      </c>
      <c r="HA11" s="9"/>
      <c r="HB11" s="9"/>
      <c r="HC11" s="9"/>
      <c r="HD11" s="9"/>
      <c r="HE11" s="9"/>
      <c r="HF11" s="9" t="s">
        <v>198</v>
      </c>
      <c r="HG11" s="9"/>
      <c r="HH11" s="9"/>
      <c r="HI11" s="9"/>
      <c r="HJ11" s="9"/>
      <c r="HK11" s="9"/>
      <c r="HL11" s="9"/>
      <c r="HM11" s="9" t="s">
        <v>306</v>
      </c>
      <c r="HN11" s="9"/>
      <c r="HO11" s="9"/>
      <c r="HP11" s="9"/>
      <c r="HQ11" s="9"/>
      <c r="HR11" s="9">
        <v>0</v>
      </c>
      <c r="HS11" s="9">
        <v>0</v>
      </c>
      <c r="HT11" s="9">
        <v>0</v>
      </c>
      <c r="HU11" s="9">
        <v>100</v>
      </c>
      <c r="HV11" s="9">
        <v>0</v>
      </c>
      <c r="HW11" s="9" t="s">
        <v>462</v>
      </c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 t="s">
        <v>330</v>
      </c>
      <c r="II11" s="9" t="s">
        <v>331</v>
      </c>
      <c r="IJ11" s="9" t="s">
        <v>463</v>
      </c>
      <c r="IK11" s="9" t="s">
        <v>306</v>
      </c>
      <c r="IL11" s="9"/>
      <c r="IM11" s="9"/>
      <c r="IN11" s="9"/>
      <c r="IO11" s="9"/>
      <c r="IP11" s="9"/>
      <c r="IQ11" s="9"/>
      <c r="IR11" s="9"/>
      <c r="IS11" s="9"/>
      <c r="IT11" s="9" t="s">
        <v>306</v>
      </c>
      <c r="IU11" s="9" t="s">
        <v>407</v>
      </c>
      <c r="IV11" s="9" t="s">
        <v>464</v>
      </c>
      <c r="IW11" s="9" t="s">
        <v>306</v>
      </c>
      <c r="IX11" s="9"/>
      <c r="IY11" s="9" t="s">
        <v>306</v>
      </c>
      <c r="IZ11" s="9"/>
      <c r="JA11" s="9"/>
      <c r="JB11" s="9">
        <v>10</v>
      </c>
      <c r="JC11" s="9">
        <v>2.5</v>
      </c>
      <c r="JD11" s="9">
        <v>100</v>
      </c>
      <c r="JE11" s="9">
        <v>29</v>
      </c>
      <c r="JF11" s="9">
        <v>13</v>
      </c>
      <c r="JG11" s="9">
        <v>8</v>
      </c>
      <c r="JH11" s="9">
        <v>0</v>
      </c>
      <c r="JI11" s="9" t="s">
        <v>433</v>
      </c>
      <c r="JJ11" s="9" t="s">
        <v>306</v>
      </c>
      <c r="JK11" s="9" t="s">
        <v>306</v>
      </c>
      <c r="JL11" s="9"/>
      <c r="JM11" s="9" t="s">
        <v>306</v>
      </c>
      <c r="JN11" s="9" t="s">
        <v>306</v>
      </c>
      <c r="JO11" s="9" t="s">
        <v>306</v>
      </c>
      <c r="JP11" s="9" t="s">
        <v>306</v>
      </c>
      <c r="JQ11" s="9" t="s">
        <v>306</v>
      </c>
      <c r="JR11" s="9" t="s">
        <v>306</v>
      </c>
      <c r="JS11" s="9" t="s">
        <v>306</v>
      </c>
      <c r="JT11" s="9" t="s">
        <v>465</v>
      </c>
      <c r="JU11" s="9" t="s">
        <v>306</v>
      </c>
      <c r="JV11" s="9" t="s">
        <v>306</v>
      </c>
      <c r="JW11" s="9" t="s">
        <v>306</v>
      </c>
      <c r="JX11" s="9"/>
      <c r="JY11" s="9" t="s">
        <v>306</v>
      </c>
      <c r="JZ11" s="9" t="s">
        <v>306</v>
      </c>
      <c r="KA11" s="9"/>
      <c r="KB11" s="9" t="s">
        <v>363</v>
      </c>
      <c r="KC11" s="9" t="s">
        <v>306</v>
      </c>
      <c r="KD11" s="9" t="s">
        <v>306</v>
      </c>
      <c r="KE11" s="9"/>
      <c r="KF11" s="9"/>
      <c r="KG11" s="9" t="s">
        <v>337</v>
      </c>
      <c r="KH11" s="9" t="s">
        <v>364</v>
      </c>
      <c r="KI11" s="9" t="s">
        <v>339</v>
      </c>
      <c r="KJ11" s="9" t="s">
        <v>306</v>
      </c>
      <c r="KK11" s="9" t="s">
        <v>466</v>
      </c>
      <c r="KL11" s="9" t="s">
        <v>306</v>
      </c>
      <c r="KM11" s="9"/>
      <c r="KN11" s="9"/>
      <c r="KO11" s="9" t="s">
        <v>306</v>
      </c>
      <c r="KP11" s="9"/>
      <c r="KQ11" s="9"/>
      <c r="KR11" s="9"/>
      <c r="KS11" s="9"/>
      <c r="KT11" s="9"/>
      <c r="KU11" s="9">
        <v>1</v>
      </c>
      <c r="KV11" s="9">
        <v>2.93</v>
      </c>
      <c r="KW11" s="9">
        <v>2.2999999999999998</v>
      </c>
      <c r="KX11" s="9">
        <v>2.8</v>
      </c>
      <c r="KY11" s="9" t="s">
        <v>365</v>
      </c>
      <c r="KZ11" s="9" t="s">
        <v>306</v>
      </c>
      <c r="LA11" s="9" t="s">
        <v>306</v>
      </c>
      <c r="LB11" s="9" t="s">
        <v>306</v>
      </c>
      <c r="LC11" s="9" t="s">
        <v>306</v>
      </c>
      <c r="LD11" s="9" t="s">
        <v>306</v>
      </c>
      <c r="LE11" s="9"/>
      <c r="LF11" s="9"/>
      <c r="LG11" s="9" t="s">
        <v>454</v>
      </c>
      <c r="LH11" s="9" t="s">
        <v>341</v>
      </c>
      <c r="LI11" s="9" t="s">
        <v>341</v>
      </c>
      <c r="LJ11" s="9" t="s">
        <v>307</v>
      </c>
      <c r="LK11" s="9" t="s">
        <v>342</v>
      </c>
    </row>
    <row r="12" spans="1:323" x14ac:dyDescent="0.3">
      <c r="A12" s="8"/>
      <c r="B12" s="9" t="s">
        <v>548</v>
      </c>
      <c r="C12" s="9" t="s">
        <v>302</v>
      </c>
      <c r="D12" s="9" t="s">
        <v>631</v>
      </c>
      <c r="E12" s="9" t="s">
        <v>343</v>
      </c>
      <c r="F12" s="9" t="s">
        <v>303</v>
      </c>
      <c r="G12" s="9" t="s">
        <v>304</v>
      </c>
      <c r="H12" s="9" t="s">
        <v>304</v>
      </c>
      <c r="I12" s="9" t="s">
        <v>304</v>
      </c>
      <c r="J12" s="9" t="s">
        <v>425</v>
      </c>
      <c r="K12" s="9" t="s">
        <v>306</v>
      </c>
      <c r="L12" s="9" t="s">
        <v>306</v>
      </c>
      <c r="M12" s="9" t="s">
        <v>306</v>
      </c>
      <c r="N12" s="9" t="s">
        <v>306</v>
      </c>
      <c r="O12" s="9"/>
      <c r="P12" s="9"/>
      <c r="Q12" s="9"/>
      <c r="R12" s="9"/>
      <c r="S12" s="9">
        <v>58</v>
      </c>
      <c r="T12" s="9">
        <v>28</v>
      </c>
      <c r="U12" s="9" t="s">
        <v>308</v>
      </c>
      <c r="V12" s="9" t="s">
        <v>467</v>
      </c>
      <c r="W12" s="9" t="s">
        <v>346</v>
      </c>
      <c r="X12" s="10">
        <v>80</v>
      </c>
      <c r="Y12" s="10">
        <v>20</v>
      </c>
      <c r="Z12" s="10">
        <v>0</v>
      </c>
      <c r="AA12" s="10">
        <v>0</v>
      </c>
      <c r="AB12" s="10">
        <v>0</v>
      </c>
      <c r="AC12" s="10">
        <v>0</v>
      </c>
      <c r="AD12" s="10">
        <v>9</v>
      </c>
      <c r="AE12" s="10">
        <v>91</v>
      </c>
      <c r="AF12" s="10">
        <v>0</v>
      </c>
      <c r="AG12" s="10">
        <v>0</v>
      </c>
      <c r="AH12" s="10">
        <v>0</v>
      </c>
      <c r="AI12" s="9" t="s">
        <v>307</v>
      </c>
      <c r="AJ12" s="9">
        <v>100</v>
      </c>
      <c r="AK12" s="9">
        <v>0</v>
      </c>
      <c r="AL12" s="9">
        <v>0</v>
      </c>
      <c r="AM12" s="9">
        <v>0</v>
      </c>
      <c r="AN12" s="9">
        <v>0</v>
      </c>
      <c r="AO12" s="9">
        <v>85</v>
      </c>
      <c r="AP12" s="9">
        <v>15</v>
      </c>
      <c r="AQ12" s="9">
        <v>0</v>
      </c>
      <c r="AR12" s="9" t="s">
        <v>44</v>
      </c>
      <c r="AS12" s="9"/>
      <c r="AT12" s="9"/>
      <c r="AU12" s="9"/>
      <c r="AV12" s="9" t="s">
        <v>306</v>
      </c>
      <c r="AW12" s="9"/>
      <c r="AX12" s="9"/>
      <c r="AY12" s="9"/>
      <c r="AZ12" s="9"/>
      <c r="BA12" s="9"/>
      <c r="BB12" s="9"/>
      <c r="BC12" s="9" t="s">
        <v>311</v>
      </c>
      <c r="BD12" s="9" t="s">
        <v>306</v>
      </c>
      <c r="BE12" s="9" t="s">
        <v>388</v>
      </c>
      <c r="BF12" s="9"/>
      <c r="BG12" s="9"/>
      <c r="BH12" s="9" t="s">
        <v>306</v>
      </c>
      <c r="BI12" s="9"/>
      <c r="BJ12" s="9"/>
      <c r="BK12" s="9" t="s">
        <v>306</v>
      </c>
      <c r="BL12" s="9"/>
      <c r="BM12" s="9"/>
      <c r="BN12" s="9"/>
      <c r="BO12" s="9" t="s">
        <v>468</v>
      </c>
      <c r="BP12" s="9"/>
      <c r="BQ12" s="9"/>
      <c r="BR12" s="9"/>
      <c r="BS12" s="9"/>
      <c r="BT12" s="9"/>
      <c r="BU12" s="9" t="s">
        <v>306</v>
      </c>
      <c r="BV12" s="9"/>
      <c r="BW12" s="9" t="s">
        <v>306</v>
      </c>
      <c r="BX12" s="9"/>
      <c r="BY12" s="9"/>
      <c r="BZ12" s="9"/>
      <c r="CA12" s="9"/>
      <c r="CB12" s="9" t="s">
        <v>469</v>
      </c>
      <c r="CC12" s="9"/>
      <c r="CD12" s="9"/>
      <c r="CE12" s="9" t="s">
        <v>306</v>
      </c>
      <c r="CF12" s="9"/>
      <c r="CG12" s="9" t="s">
        <v>306</v>
      </c>
      <c r="CH12" s="9" t="s">
        <v>306</v>
      </c>
      <c r="CI12" s="9"/>
      <c r="CJ12" s="9"/>
      <c r="CK12" s="9"/>
      <c r="CL12" s="9" t="s">
        <v>376</v>
      </c>
      <c r="CM12" s="9" t="s">
        <v>470</v>
      </c>
      <c r="CN12" s="9" t="s">
        <v>306</v>
      </c>
      <c r="CO12" s="9" t="s">
        <v>44</v>
      </c>
      <c r="CP12" s="9"/>
      <c r="CQ12" s="9"/>
      <c r="CR12" s="9" t="s">
        <v>306</v>
      </c>
      <c r="CS12" s="9"/>
      <c r="CT12" s="9"/>
      <c r="CU12" s="9"/>
      <c r="CV12" s="9"/>
      <c r="CW12" s="9" t="s">
        <v>99</v>
      </c>
      <c r="CX12" s="9"/>
      <c r="CY12" s="9"/>
      <c r="CZ12" s="9"/>
      <c r="DA12" s="9"/>
      <c r="DB12" s="9"/>
      <c r="DC12" s="9" t="s">
        <v>306</v>
      </c>
      <c r="DD12" s="11">
        <v>1500</v>
      </c>
      <c r="DE12" s="11">
        <v>1500</v>
      </c>
      <c r="DF12" s="11">
        <v>1500</v>
      </c>
      <c r="DG12" s="12">
        <v>28</v>
      </c>
      <c r="DH12" s="9">
        <v>28</v>
      </c>
      <c r="DI12" s="9">
        <v>28</v>
      </c>
      <c r="DJ12" s="9">
        <v>97.4</v>
      </c>
      <c r="DK12" s="9">
        <v>0</v>
      </c>
      <c r="DL12" s="9">
        <v>0</v>
      </c>
      <c r="DM12" s="9">
        <v>0.1</v>
      </c>
      <c r="DN12" s="9">
        <v>2.5</v>
      </c>
      <c r="DO12" s="9">
        <v>40</v>
      </c>
      <c r="DP12" s="9">
        <v>46</v>
      </c>
      <c r="DQ12" s="9" t="s">
        <v>306</v>
      </c>
      <c r="DR12" s="9" t="s">
        <v>306</v>
      </c>
      <c r="DS12" s="9" t="s">
        <v>307</v>
      </c>
      <c r="DT12" s="10">
        <v>1.2328767123287672</v>
      </c>
      <c r="DU12" s="10">
        <v>2</v>
      </c>
      <c r="DV12" s="10">
        <f t="shared" si="0"/>
        <v>3.2328767123287672</v>
      </c>
      <c r="DW12" s="9">
        <v>56</v>
      </c>
      <c r="DX12" s="9">
        <v>11</v>
      </c>
      <c r="DY12" s="9">
        <v>7</v>
      </c>
      <c r="DZ12" s="9">
        <v>0</v>
      </c>
      <c r="EA12" s="9">
        <v>16</v>
      </c>
      <c r="EB12" s="9">
        <v>19</v>
      </c>
      <c r="EC12" s="9">
        <v>0</v>
      </c>
      <c r="ED12" s="9">
        <v>1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100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100</v>
      </c>
      <c r="ER12" s="9">
        <v>0</v>
      </c>
      <c r="ES12" s="9">
        <v>0</v>
      </c>
      <c r="ET12" s="9">
        <v>0</v>
      </c>
      <c r="EU12" s="9">
        <v>0</v>
      </c>
      <c r="EV12" s="9" t="s">
        <v>317</v>
      </c>
      <c r="EW12" s="9" t="s">
        <v>306</v>
      </c>
      <c r="EX12" s="9" t="s">
        <v>306</v>
      </c>
      <c r="EY12" s="9" t="s">
        <v>318</v>
      </c>
      <c r="EZ12" s="9" t="s">
        <v>306</v>
      </c>
      <c r="FA12" s="9" t="s">
        <v>306</v>
      </c>
      <c r="FB12" s="9" t="s">
        <v>319</v>
      </c>
      <c r="FC12" s="9">
        <v>3</v>
      </c>
      <c r="FD12" s="9">
        <v>3</v>
      </c>
      <c r="FE12" s="9" t="s">
        <v>377</v>
      </c>
      <c r="FF12" s="9" t="s">
        <v>352</v>
      </c>
      <c r="FG12" s="9" t="s">
        <v>156</v>
      </c>
      <c r="FH12" s="9" t="s">
        <v>306</v>
      </c>
      <c r="FI12" s="9"/>
      <c r="FJ12" s="9"/>
      <c r="FK12" s="9"/>
      <c r="FL12" s="9"/>
      <c r="FM12" s="9"/>
      <c r="FN12" s="9"/>
      <c r="FO12" s="9"/>
      <c r="FP12" s="9"/>
      <c r="FQ12" s="9" t="s">
        <v>439</v>
      </c>
      <c r="FR12" s="9" t="s">
        <v>306</v>
      </c>
      <c r="FS12" s="9"/>
      <c r="FT12" s="9"/>
      <c r="FU12" s="9" t="s">
        <v>306</v>
      </c>
      <c r="FV12" s="9" t="s">
        <v>306</v>
      </c>
      <c r="FW12" s="9"/>
      <c r="FX12" s="9"/>
      <c r="FY12" s="9"/>
      <c r="FZ12" s="9" t="s">
        <v>378</v>
      </c>
      <c r="GA12" s="9" t="s">
        <v>182</v>
      </c>
      <c r="GB12" s="9"/>
      <c r="GC12" s="9"/>
      <c r="GD12" s="9"/>
      <c r="GE12" s="9"/>
      <c r="GF12" s="9"/>
      <c r="GG12" s="9"/>
      <c r="GH12" s="9" t="s">
        <v>306</v>
      </c>
      <c r="GI12" s="9" t="s">
        <v>325</v>
      </c>
      <c r="GJ12" s="9" t="s">
        <v>306</v>
      </c>
      <c r="GK12" s="9">
        <v>2.1</v>
      </c>
      <c r="GL12" s="9" t="s">
        <v>326</v>
      </c>
      <c r="GM12" s="9" t="s">
        <v>306</v>
      </c>
      <c r="GN12" s="9"/>
      <c r="GO12" s="9" t="s">
        <v>306</v>
      </c>
      <c r="GP12" s="9"/>
      <c r="GQ12" s="9"/>
      <c r="GR12" s="9" t="s">
        <v>306</v>
      </c>
      <c r="GS12" s="9">
        <v>24</v>
      </c>
      <c r="GT12" s="9" t="s">
        <v>471</v>
      </c>
      <c r="GU12" s="9"/>
      <c r="GV12" s="9"/>
      <c r="GW12" s="9"/>
      <c r="GX12" s="9" t="s">
        <v>306</v>
      </c>
      <c r="GY12" s="9"/>
      <c r="GZ12" s="9"/>
      <c r="HA12" s="9" t="s">
        <v>306</v>
      </c>
      <c r="HB12" s="9"/>
      <c r="HC12" s="9"/>
      <c r="HD12" s="9" t="s">
        <v>306</v>
      </c>
      <c r="HE12" s="9"/>
      <c r="HF12" s="9" t="s">
        <v>197</v>
      </c>
      <c r="HG12" s="9"/>
      <c r="HH12" s="9"/>
      <c r="HI12" s="9" t="s">
        <v>306</v>
      </c>
      <c r="HJ12" s="9"/>
      <c r="HK12" s="9"/>
      <c r="HL12" s="9"/>
      <c r="HM12" s="9"/>
      <c r="HN12" s="9"/>
      <c r="HO12" s="9"/>
      <c r="HP12" s="9"/>
      <c r="HQ12" s="9"/>
      <c r="HR12" s="9">
        <v>0</v>
      </c>
      <c r="HS12" s="9">
        <v>100</v>
      </c>
      <c r="HT12" s="9">
        <v>0</v>
      </c>
      <c r="HU12" s="9">
        <v>0</v>
      </c>
      <c r="HV12" s="9">
        <v>0</v>
      </c>
      <c r="HW12" s="9" t="s">
        <v>472</v>
      </c>
      <c r="HX12" s="9" t="s">
        <v>306</v>
      </c>
      <c r="HY12" s="9" t="s">
        <v>306</v>
      </c>
      <c r="HZ12" s="9" t="s">
        <v>306</v>
      </c>
      <c r="IA12" s="9"/>
      <c r="IB12" s="9" t="s">
        <v>306</v>
      </c>
      <c r="IC12" s="9"/>
      <c r="ID12" s="9"/>
      <c r="IE12" s="9" t="s">
        <v>306</v>
      </c>
      <c r="IF12" s="9"/>
      <c r="IG12" s="9"/>
      <c r="IH12" s="9" t="s">
        <v>330</v>
      </c>
      <c r="II12" s="9" t="s">
        <v>331</v>
      </c>
      <c r="IJ12" s="9" t="s">
        <v>473</v>
      </c>
      <c r="IK12" s="9"/>
      <c r="IL12" s="9"/>
      <c r="IM12" s="9" t="s">
        <v>306</v>
      </c>
      <c r="IN12" s="9" t="s">
        <v>306</v>
      </c>
      <c r="IO12" s="9"/>
      <c r="IP12" s="9"/>
      <c r="IQ12" s="9"/>
      <c r="IR12" s="9"/>
      <c r="IS12" s="9"/>
      <c r="IT12" s="9" t="s">
        <v>306</v>
      </c>
      <c r="IU12" s="9" t="s">
        <v>385</v>
      </c>
      <c r="IV12" s="9" t="s">
        <v>474</v>
      </c>
      <c r="IW12" s="9" t="s">
        <v>306</v>
      </c>
      <c r="IX12" s="9" t="s">
        <v>306</v>
      </c>
      <c r="IY12" s="9"/>
      <c r="IZ12" s="9"/>
      <c r="JA12" s="9" t="s">
        <v>306</v>
      </c>
      <c r="JB12" s="9">
        <v>0</v>
      </c>
      <c r="JC12" s="9">
        <v>3</v>
      </c>
      <c r="JD12" s="9">
        <v>120</v>
      </c>
      <c r="JE12" s="9">
        <v>30</v>
      </c>
      <c r="JF12" s="9">
        <v>13</v>
      </c>
      <c r="JG12" s="9">
        <v>3</v>
      </c>
      <c r="JH12" s="9">
        <v>1</v>
      </c>
      <c r="JI12" s="9" t="s">
        <v>433</v>
      </c>
      <c r="JJ12" s="9" t="s">
        <v>306</v>
      </c>
      <c r="JK12" s="9" t="s">
        <v>306</v>
      </c>
      <c r="JL12" s="9"/>
      <c r="JM12" s="9" t="s">
        <v>306</v>
      </c>
      <c r="JN12" s="9" t="s">
        <v>306</v>
      </c>
      <c r="JO12" s="9" t="s">
        <v>306</v>
      </c>
      <c r="JP12" s="9" t="s">
        <v>306</v>
      </c>
      <c r="JQ12" s="9" t="s">
        <v>306</v>
      </c>
      <c r="JR12" s="9" t="s">
        <v>306</v>
      </c>
      <c r="JS12" s="9" t="s">
        <v>306</v>
      </c>
      <c r="JT12" s="9" t="s">
        <v>336</v>
      </c>
      <c r="JU12" s="9" t="s">
        <v>306</v>
      </c>
      <c r="JV12" s="9" t="s">
        <v>306</v>
      </c>
      <c r="JW12" s="9" t="s">
        <v>306</v>
      </c>
      <c r="JX12" s="9" t="s">
        <v>306</v>
      </c>
      <c r="JY12" s="9"/>
      <c r="JZ12" s="9" t="s">
        <v>306</v>
      </c>
      <c r="KA12" s="9" t="s">
        <v>306</v>
      </c>
      <c r="KB12" s="9" t="s">
        <v>475</v>
      </c>
      <c r="KC12" s="9"/>
      <c r="KD12" s="9" t="s">
        <v>306</v>
      </c>
      <c r="KE12" s="9" t="s">
        <v>306</v>
      </c>
      <c r="KF12" s="9"/>
      <c r="KG12" s="9" t="s">
        <v>337</v>
      </c>
      <c r="KH12" s="9" t="s">
        <v>364</v>
      </c>
      <c r="KI12" s="9" t="s">
        <v>339</v>
      </c>
      <c r="KJ12" s="9" t="s">
        <v>306</v>
      </c>
      <c r="KK12" s="9" t="s">
        <v>278</v>
      </c>
      <c r="KL12" s="9"/>
      <c r="KM12" s="9"/>
      <c r="KN12" s="9"/>
      <c r="KO12" s="9" t="s">
        <v>306</v>
      </c>
      <c r="KP12" s="9"/>
      <c r="KQ12" s="9"/>
      <c r="KR12" s="9"/>
      <c r="KS12" s="9"/>
      <c r="KT12" s="9"/>
      <c r="KU12" s="9">
        <v>20</v>
      </c>
      <c r="KV12" s="9">
        <v>2.56</v>
      </c>
      <c r="KW12" s="9">
        <v>2.2999999999999998</v>
      </c>
      <c r="KX12" s="9">
        <v>2.7</v>
      </c>
      <c r="KY12" s="9" t="s">
        <v>476</v>
      </c>
      <c r="KZ12" s="9" t="s">
        <v>306</v>
      </c>
      <c r="LA12" s="9" t="s">
        <v>306</v>
      </c>
      <c r="LB12" s="9" t="s">
        <v>306</v>
      </c>
      <c r="LC12" s="9" t="s">
        <v>306</v>
      </c>
      <c r="LD12" s="9"/>
      <c r="LE12" s="9"/>
      <c r="LF12" s="9"/>
      <c r="LG12" s="9" t="s">
        <v>341</v>
      </c>
      <c r="LH12" s="9" t="s">
        <v>341</v>
      </c>
      <c r="LI12" s="9" t="s">
        <v>341</v>
      </c>
      <c r="LJ12" s="9" t="s">
        <v>307</v>
      </c>
      <c r="LK12" s="9" t="s">
        <v>477</v>
      </c>
    </row>
    <row r="13" spans="1:323" x14ac:dyDescent="0.3">
      <c r="A13" s="8"/>
      <c r="B13" s="9" t="s">
        <v>424</v>
      </c>
      <c r="C13" s="9" t="s">
        <v>302</v>
      </c>
      <c r="D13" s="9" t="s">
        <v>635</v>
      </c>
      <c r="E13" s="9" t="s">
        <v>301</v>
      </c>
      <c r="F13" s="9" t="s">
        <v>368</v>
      </c>
      <c r="G13" s="9" t="s">
        <v>304</v>
      </c>
      <c r="H13" s="9" t="s">
        <v>369</v>
      </c>
      <c r="I13" s="9" t="s">
        <v>321</v>
      </c>
      <c r="J13" s="9" t="s">
        <v>478</v>
      </c>
      <c r="K13" s="9" t="s">
        <v>306</v>
      </c>
      <c r="L13" s="9" t="s">
        <v>306</v>
      </c>
      <c r="M13" s="9" t="s">
        <v>306</v>
      </c>
      <c r="N13" s="9" t="s">
        <v>306</v>
      </c>
      <c r="O13" s="9" t="s">
        <v>306</v>
      </c>
      <c r="P13" s="9"/>
      <c r="Q13" s="9"/>
      <c r="R13" s="9"/>
      <c r="S13" s="9">
        <v>41</v>
      </c>
      <c r="T13" s="9">
        <v>18</v>
      </c>
      <c r="U13" s="9" t="s">
        <v>308</v>
      </c>
      <c r="V13" s="9" t="s">
        <v>372</v>
      </c>
      <c r="W13" s="9" t="s">
        <v>346</v>
      </c>
      <c r="X13" s="10">
        <v>96</v>
      </c>
      <c r="Y13" s="10">
        <v>4</v>
      </c>
      <c r="Z13" s="10">
        <v>0</v>
      </c>
      <c r="AA13" s="10">
        <v>0</v>
      </c>
      <c r="AB13" s="10">
        <v>0</v>
      </c>
      <c r="AC13" s="10">
        <v>0</v>
      </c>
      <c r="AD13" s="10">
        <v>50</v>
      </c>
      <c r="AE13" s="10">
        <v>50</v>
      </c>
      <c r="AF13" s="10">
        <v>0</v>
      </c>
      <c r="AG13" s="10">
        <v>0</v>
      </c>
      <c r="AH13" s="10">
        <v>0</v>
      </c>
      <c r="AI13" s="9" t="s">
        <v>306</v>
      </c>
      <c r="AJ13" s="9">
        <v>90</v>
      </c>
      <c r="AK13" s="9">
        <v>3</v>
      </c>
      <c r="AL13" s="9">
        <v>0</v>
      </c>
      <c r="AM13" s="9">
        <v>7</v>
      </c>
      <c r="AN13" s="9">
        <v>0</v>
      </c>
      <c r="AO13" s="9">
        <v>80</v>
      </c>
      <c r="AP13" s="9">
        <v>20</v>
      </c>
      <c r="AQ13" s="9">
        <v>0</v>
      </c>
      <c r="AR13" s="9" t="s">
        <v>50</v>
      </c>
      <c r="AS13" s="9"/>
      <c r="AT13" s="9"/>
      <c r="AU13" s="9"/>
      <c r="AV13" s="9"/>
      <c r="AW13" s="9"/>
      <c r="AX13" s="9"/>
      <c r="AY13" s="9"/>
      <c r="AZ13" s="9"/>
      <c r="BA13" s="9"/>
      <c r="BB13" s="9" t="s">
        <v>306</v>
      </c>
      <c r="BC13" s="9" t="s">
        <v>412</v>
      </c>
      <c r="BD13" s="9" t="s">
        <v>306</v>
      </c>
      <c r="BE13" s="9" t="s">
        <v>479</v>
      </c>
      <c r="BF13" s="9" t="s">
        <v>306</v>
      </c>
      <c r="BG13" s="9" t="s">
        <v>306</v>
      </c>
      <c r="BH13" s="9"/>
      <c r="BI13" s="9"/>
      <c r="BJ13" s="9"/>
      <c r="BK13" s="9" t="s">
        <v>306</v>
      </c>
      <c r="BL13" s="9"/>
      <c r="BM13" s="9"/>
      <c r="BN13" s="9"/>
      <c r="BO13" s="9" t="s">
        <v>480</v>
      </c>
      <c r="BP13" s="9"/>
      <c r="BQ13" s="9"/>
      <c r="BR13" s="9"/>
      <c r="BS13" s="9"/>
      <c r="BT13" s="9"/>
      <c r="BU13" s="9" t="s">
        <v>306</v>
      </c>
      <c r="BV13" s="9" t="s">
        <v>306</v>
      </c>
      <c r="BW13" s="9"/>
      <c r="BX13" s="9"/>
      <c r="BY13" s="9"/>
      <c r="BZ13" s="9"/>
      <c r="CA13" s="9"/>
      <c r="CB13" s="9" t="s">
        <v>481</v>
      </c>
      <c r="CC13" s="9"/>
      <c r="CD13" s="9"/>
      <c r="CE13" s="9"/>
      <c r="CF13" s="9" t="s">
        <v>306</v>
      </c>
      <c r="CG13" s="9"/>
      <c r="CH13" s="9" t="s">
        <v>306</v>
      </c>
      <c r="CI13" s="9"/>
      <c r="CJ13" s="9"/>
      <c r="CK13" s="9"/>
      <c r="CL13" s="9" t="s">
        <v>314</v>
      </c>
      <c r="CM13" s="9" t="s">
        <v>62</v>
      </c>
      <c r="CN13" s="9" t="s">
        <v>307</v>
      </c>
      <c r="CO13" s="9" t="s">
        <v>92</v>
      </c>
      <c r="CP13" s="9"/>
      <c r="CQ13" s="9"/>
      <c r="CR13" s="9"/>
      <c r="CS13" s="9"/>
      <c r="CT13" s="9"/>
      <c r="CU13" s="9"/>
      <c r="CV13" s="9" t="s">
        <v>306</v>
      </c>
      <c r="CW13" s="9" t="s">
        <v>98</v>
      </c>
      <c r="CX13" s="9"/>
      <c r="CY13" s="9"/>
      <c r="CZ13" s="9"/>
      <c r="DA13" s="9"/>
      <c r="DB13" s="9" t="s">
        <v>306</v>
      </c>
      <c r="DC13" s="9"/>
      <c r="DD13" s="11">
        <v>658.33333333333337</v>
      </c>
      <c r="DE13" s="11">
        <v>600</v>
      </c>
      <c r="DF13" s="11">
        <v>700</v>
      </c>
      <c r="DG13" s="12">
        <v>19.541666666666668</v>
      </c>
      <c r="DH13" s="9">
        <v>17.5</v>
      </c>
      <c r="DI13" s="9">
        <v>21</v>
      </c>
      <c r="DJ13" s="9">
        <v>90</v>
      </c>
      <c r="DK13" s="9">
        <v>1</v>
      </c>
      <c r="DL13" s="9">
        <v>0</v>
      </c>
      <c r="DM13" s="9">
        <v>1</v>
      </c>
      <c r="DN13" s="9">
        <v>8</v>
      </c>
      <c r="DO13" s="9">
        <v>96</v>
      </c>
      <c r="DP13" s="9">
        <v>48</v>
      </c>
      <c r="DQ13" s="9" t="s">
        <v>306</v>
      </c>
      <c r="DR13" s="9" t="s">
        <v>306</v>
      </c>
      <c r="DS13" s="9" t="s">
        <v>307</v>
      </c>
      <c r="DT13" s="10">
        <v>1.2328767123287672</v>
      </c>
      <c r="DU13" s="10">
        <v>3</v>
      </c>
      <c r="DV13" s="10">
        <f t="shared" si="0"/>
        <v>4.2328767123287676</v>
      </c>
      <c r="DW13" s="9">
        <v>34</v>
      </c>
      <c r="DX13" s="9">
        <v>4</v>
      </c>
      <c r="DY13" s="9">
        <v>2</v>
      </c>
      <c r="DZ13" s="9">
        <v>10</v>
      </c>
      <c r="EA13" s="9">
        <v>29</v>
      </c>
      <c r="EB13" s="9">
        <v>6</v>
      </c>
      <c r="EC13" s="9">
        <v>0</v>
      </c>
      <c r="ED13" s="9">
        <v>0</v>
      </c>
      <c r="EE13" s="9">
        <v>2</v>
      </c>
      <c r="EF13" s="9">
        <v>0</v>
      </c>
      <c r="EG13" s="9">
        <v>25</v>
      </c>
      <c r="EH13" s="9">
        <v>0</v>
      </c>
      <c r="EI13" s="9">
        <v>0</v>
      </c>
      <c r="EJ13" s="9">
        <v>70</v>
      </c>
      <c r="EK13" s="9">
        <v>0</v>
      </c>
      <c r="EL13" s="9">
        <v>5</v>
      </c>
      <c r="EM13" s="9">
        <v>0</v>
      </c>
      <c r="EN13" s="9">
        <v>0</v>
      </c>
      <c r="EO13" s="9">
        <v>70</v>
      </c>
      <c r="EP13" s="9">
        <v>0</v>
      </c>
      <c r="EQ13" s="9">
        <v>0</v>
      </c>
      <c r="ER13" s="9">
        <v>30</v>
      </c>
      <c r="ES13" s="9">
        <v>0</v>
      </c>
      <c r="ET13" s="9">
        <v>0</v>
      </c>
      <c r="EU13" s="9">
        <v>0</v>
      </c>
      <c r="EV13" s="9" t="s">
        <v>317</v>
      </c>
      <c r="EW13" s="9" t="s">
        <v>306</v>
      </c>
      <c r="EX13" s="9" t="s">
        <v>306</v>
      </c>
      <c r="EY13" s="9" t="s">
        <v>318</v>
      </c>
      <c r="EZ13" s="9" t="s">
        <v>306</v>
      </c>
      <c r="FA13" s="9" t="s">
        <v>306</v>
      </c>
      <c r="FB13" s="9" t="s">
        <v>319</v>
      </c>
      <c r="FC13" s="9">
        <v>2</v>
      </c>
      <c r="FD13" s="9">
        <v>2</v>
      </c>
      <c r="FE13" s="9" t="s">
        <v>377</v>
      </c>
      <c r="FF13" s="9" t="s">
        <v>352</v>
      </c>
      <c r="FG13" s="9" t="s">
        <v>322</v>
      </c>
      <c r="FH13" s="9" t="s">
        <v>306</v>
      </c>
      <c r="FI13" s="9"/>
      <c r="FJ13" s="9"/>
      <c r="FK13" s="9"/>
      <c r="FL13" s="9"/>
      <c r="FM13" s="9"/>
      <c r="FN13" s="9"/>
      <c r="FO13" s="9" t="s">
        <v>306</v>
      </c>
      <c r="FP13" s="9"/>
      <c r="FQ13" s="9" t="s">
        <v>482</v>
      </c>
      <c r="FR13" s="9"/>
      <c r="FS13" s="9"/>
      <c r="FT13" s="9"/>
      <c r="FU13" s="9"/>
      <c r="FV13" s="9"/>
      <c r="FW13" s="9"/>
      <c r="FX13" s="9"/>
      <c r="FY13" s="9"/>
      <c r="FZ13" s="9" t="s">
        <v>378</v>
      </c>
      <c r="GA13" s="9" t="s">
        <v>483</v>
      </c>
      <c r="GB13" s="9" t="s">
        <v>306</v>
      </c>
      <c r="GC13" s="9" t="s">
        <v>306</v>
      </c>
      <c r="GD13" s="9"/>
      <c r="GE13" s="9"/>
      <c r="GF13" s="9" t="s">
        <v>306</v>
      </c>
      <c r="GG13" s="9"/>
      <c r="GH13" s="9"/>
      <c r="GI13" s="9" t="s">
        <v>325</v>
      </c>
      <c r="GJ13" s="9" t="s">
        <v>306</v>
      </c>
      <c r="GK13" s="9">
        <v>1.95</v>
      </c>
      <c r="GL13" s="9" t="s">
        <v>326</v>
      </c>
      <c r="GM13" s="9" t="s">
        <v>306</v>
      </c>
      <c r="GN13" s="9"/>
      <c r="GO13" s="9" t="s">
        <v>306</v>
      </c>
      <c r="GP13" s="9"/>
      <c r="GQ13" s="9"/>
      <c r="GR13" s="9" t="s">
        <v>306</v>
      </c>
      <c r="GS13" s="9">
        <v>15</v>
      </c>
      <c r="GT13" s="9" t="s">
        <v>441</v>
      </c>
      <c r="GU13" s="9"/>
      <c r="GV13" s="9" t="s">
        <v>306</v>
      </c>
      <c r="GW13" s="9"/>
      <c r="GX13" s="9" t="s">
        <v>306</v>
      </c>
      <c r="GY13" s="9" t="s">
        <v>306</v>
      </c>
      <c r="GZ13" s="9"/>
      <c r="HA13" s="9"/>
      <c r="HB13" s="9"/>
      <c r="HC13" s="9"/>
      <c r="HD13" s="9"/>
      <c r="HE13" s="9"/>
      <c r="HF13" s="9" t="s">
        <v>358</v>
      </c>
      <c r="HG13" s="9"/>
      <c r="HH13" s="9"/>
      <c r="HI13" s="9" t="s">
        <v>306</v>
      </c>
      <c r="HJ13" s="9"/>
      <c r="HK13" s="9"/>
      <c r="HL13" s="9"/>
      <c r="HM13" s="9"/>
      <c r="HN13" s="9"/>
      <c r="HO13" s="9" t="s">
        <v>306</v>
      </c>
      <c r="HP13" s="9"/>
      <c r="HQ13" s="9"/>
      <c r="HR13" s="9">
        <v>0</v>
      </c>
      <c r="HS13" s="9">
        <v>0</v>
      </c>
      <c r="HT13" s="9">
        <v>100</v>
      </c>
      <c r="HU13" s="9">
        <v>0</v>
      </c>
      <c r="HV13" s="9">
        <v>0</v>
      </c>
      <c r="HW13" s="9" t="s">
        <v>484</v>
      </c>
      <c r="HX13" s="9"/>
      <c r="HY13" s="9"/>
      <c r="HZ13" s="9" t="s">
        <v>306</v>
      </c>
      <c r="IA13" s="9"/>
      <c r="IB13" s="9" t="s">
        <v>306</v>
      </c>
      <c r="IC13" s="9"/>
      <c r="ID13" s="9" t="s">
        <v>306</v>
      </c>
      <c r="IE13" s="9" t="s">
        <v>306</v>
      </c>
      <c r="IF13" s="9"/>
      <c r="IG13" s="9"/>
      <c r="IH13" s="9" t="s">
        <v>330</v>
      </c>
      <c r="II13" s="9" t="s">
        <v>383</v>
      </c>
      <c r="IJ13" s="9" t="s">
        <v>485</v>
      </c>
      <c r="IK13" s="9" t="s">
        <v>306</v>
      </c>
      <c r="IL13" s="9"/>
      <c r="IM13" s="9" t="s">
        <v>306</v>
      </c>
      <c r="IN13" s="9"/>
      <c r="IO13" s="9" t="s">
        <v>306</v>
      </c>
      <c r="IP13" s="9" t="s">
        <v>306</v>
      </c>
      <c r="IQ13" s="9"/>
      <c r="IR13" s="9" t="s">
        <v>306</v>
      </c>
      <c r="IS13" s="9" t="s">
        <v>306</v>
      </c>
      <c r="IT13" s="9" t="s">
        <v>306</v>
      </c>
      <c r="IU13" s="9" t="s">
        <v>385</v>
      </c>
      <c r="IV13" s="9" t="s">
        <v>486</v>
      </c>
      <c r="IW13" s="9"/>
      <c r="IX13" s="9"/>
      <c r="IY13" s="9" t="s">
        <v>306</v>
      </c>
      <c r="IZ13" s="9" t="s">
        <v>306</v>
      </c>
      <c r="JA13" s="9" t="s">
        <v>306</v>
      </c>
      <c r="JB13" s="9">
        <v>18</v>
      </c>
      <c r="JC13" s="9">
        <v>2.5</v>
      </c>
      <c r="JD13" s="9">
        <v>110</v>
      </c>
      <c r="JE13" s="9">
        <v>26</v>
      </c>
      <c r="JF13" s="9">
        <v>14</v>
      </c>
      <c r="JG13" s="9">
        <v>2</v>
      </c>
      <c r="JH13" s="9">
        <v>2</v>
      </c>
      <c r="JI13" s="9" t="s">
        <v>433</v>
      </c>
      <c r="JJ13" s="9" t="s">
        <v>306</v>
      </c>
      <c r="JK13" s="9" t="s">
        <v>306</v>
      </c>
      <c r="JL13" s="9"/>
      <c r="JM13" s="9" t="s">
        <v>306</v>
      </c>
      <c r="JN13" s="9" t="s">
        <v>306</v>
      </c>
      <c r="JO13" s="9" t="s">
        <v>306</v>
      </c>
      <c r="JP13" s="9" t="s">
        <v>306</v>
      </c>
      <c r="JQ13" s="9" t="s">
        <v>306</v>
      </c>
      <c r="JR13" s="9" t="s">
        <v>306</v>
      </c>
      <c r="JS13" s="9" t="s">
        <v>306</v>
      </c>
      <c r="JT13" s="9" t="s">
        <v>487</v>
      </c>
      <c r="JU13" s="9" t="s">
        <v>306</v>
      </c>
      <c r="JV13" s="9" t="s">
        <v>306</v>
      </c>
      <c r="JW13" s="9" t="s">
        <v>306</v>
      </c>
      <c r="JX13" s="9" t="s">
        <v>306</v>
      </c>
      <c r="JY13" s="9"/>
      <c r="JZ13" s="9" t="s">
        <v>306</v>
      </c>
      <c r="KA13" s="9"/>
      <c r="KB13" s="9" t="s">
        <v>267</v>
      </c>
      <c r="KC13" s="9"/>
      <c r="KD13" s="9" t="s">
        <v>306</v>
      </c>
      <c r="KE13" s="9"/>
      <c r="KF13" s="9"/>
      <c r="KG13" s="9" t="s">
        <v>434</v>
      </c>
      <c r="KH13" s="9" t="s">
        <v>338</v>
      </c>
      <c r="KI13" s="9" t="s">
        <v>339</v>
      </c>
      <c r="KJ13" s="9" t="s">
        <v>306</v>
      </c>
      <c r="KK13" s="9" t="s">
        <v>445</v>
      </c>
      <c r="KL13" s="9"/>
      <c r="KM13" s="9" t="s">
        <v>306</v>
      </c>
      <c r="KN13" s="9"/>
      <c r="KO13" s="9" t="s">
        <v>306</v>
      </c>
      <c r="KP13" s="9"/>
      <c r="KQ13" s="9"/>
      <c r="KR13" s="9"/>
      <c r="KS13" s="9"/>
      <c r="KT13" s="9"/>
      <c r="KU13" s="9">
        <v>7</v>
      </c>
      <c r="KV13" s="9">
        <v>2.5099999999999998</v>
      </c>
      <c r="KW13" s="9">
        <v>2</v>
      </c>
      <c r="KX13" s="9">
        <v>2.7</v>
      </c>
      <c r="KY13" s="9" t="s">
        <v>397</v>
      </c>
      <c r="KZ13" s="9"/>
      <c r="LA13" s="9" t="s">
        <v>306</v>
      </c>
      <c r="LB13" s="9" t="s">
        <v>306</v>
      </c>
      <c r="LC13" s="9" t="s">
        <v>306</v>
      </c>
      <c r="LD13" s="9" t="s">
        <v>306</v>
      </c>
      <c r="LE13" s="9"/>
      <c r="LF13" s="9"/>
      <c r="LG13" s="9" t="s">
        <v>341</v>
      </c>
      <c r="LH13" s="9" t="s">
        <v>341</v>
      </c>
      <c r="LI13" s="9" t="s">
        <v>341</v>
      </c>
      <c r="LJ13" s="9" t="s">
        <v>307</v>
      </c>
      <c r="LK13" s="9" t="s">
        <v>342</v>
      </c>
    </row>
    <row r="14" spans="1:323" x14ac:dyDescent="0.3">
      <c r="A14" s="8"/>
      <c r="B14" s="9" t="s">
        <v>488</v>
      </c>
      <c r="C14" s="9" t="s">
        <v>367</v>
      </c>
      <c r="D14" s="9" t="s">
        <v>635</v>
      </c>
      <c r="E14" s="9" t="s">
        <v>301</v>
      </c>
      <c r="F14" s="9" t="s">
        <v>303</v>
      </c>
      <c r="G14" s="9" t="s">
        <v>304</v>
      </c>
      <c r="H14" s="9" t="s">
        <v>304</v>
      </c>
      <c r="I14" s="9" t="s">
        <v>370</v>
      </c>
      <c r="J14" s="9" t="s">
        <v>371</v>
      </c>
      <c r="K14" s="9" t="s">
        <v>306</v>
      </c>
      <c r="L14" s="9" t="s">
        <v>306</v>
      </c>
      <c r="M14" s="9" t="s">
        <v>306</v>
      </c>
      <c r="N14" s="9" t="s">
        <v>306</v>
      </c>
      <c r="O14" s="9" t="s">
        <v>306</v>
      </c>
      <c r="P14" s="9" t="s">
        <v>306</v>
      </c>
      <c r="Q14" s="9"/>
      <c r="R14" s="9" t="s">
        <v>306</v>
      </c>
      <c r="S14" s="9">
        <v>51</v>
      </c>
      <c r="T14" s="9">
        <v>35</v>
      </c>
      <c r="U14" s="9" t="s">
        <v>308</v>
      </c>
      <c r="V14" s="9" t="s">
        <v>411</v>
      </c>
      <c r="W14" s="9" t="s">
        <v>346</v>
      </c>
      <c r="X14" s="10">
        <v>60</v>
      </c>
      <c r="Y14" s="10">
        <v>40</v>
      </c>
      <c r="Z14" s="10">
        <v>0</v>
      </c>
      <c r="AA14" s="10">
        <v>0</v>
      </c>
      <c r="AB14" s="10">
        <v>0</v>
      </c>
      <c r="AC14" s="10">
        <v>0</v>
      </c>
      <c r="AD14" s="10">
        <v>60</v>
      </c>
      <c r="AE14" s="10">
        <v>40</v>
      </c>
      <c r="AF14" s="10">
        <v>0</v>
      </c>
      <c r="AG14" s="10">
        <v>0</v>
      </c>
      <c r="AH14" s="10">
        <v>0</v>
      </c>
      <c r="AI14" s="9" t="s">
        <v>307</v>
      </c>
      <c r="AJ14" s="9">
        <v>95</v>
      </c>
      <c r="AK14" s="9">
        <v>5</v>
      </c>
      <c r="AL14" s="9">
        <v>0</v>
      </c>
      <c r="AM14" s="9">
        <v>0</v>
      </c>
      <c r="AN14" s="9">
        <v>0</v>
      </c>
      <c r="AO14" s="9">
        <v>100</v>
      </c>
      <c r="AP14" s="9">
        <v>0</v>
      </c>
      <c r="AQ14" s="9">
        <v>0</v>
      </c>
      <c r="AR14" s="9" t="s">
        <v>43</v>
      </c>
      <c r="AS14" s="9"/>
      <c r="AT14" s="9"/>
      <c r="AU14" s="9" t="s">
        <v>306</v>
      </c>
      <c r="AV14" s="9"/>
      <c r="AW14" s="9"/>
      <c r="AX14" s="9"/>
      <c r="AY14" s="9"/>
      <c r="AZ14" s="9"/>
      <c r="BA14" s="9"/>
      <c r="BB14" s="9"/>
      <c r="BC14" s="9" t="s">
        <v>311</v>
      </c>
      <c r="BD14" s="9" t="s">
        <v>307</v>
      </c>
      <c r="BE14" s="9" t="s">
        <v>489</v>
      </c>
      <c r="BF14" s="9"/>
      <c r="BG14" s="9"/>
      <c r="BH14" s="9" t="s">
        <v>306</v>
      </c>
      <c r="BI14" s="9" t="s">
        <v>306</v>
      </c>
      <c r="BJ14" s="9" t="s">
        <v>306</v>
      </c>
      <c r="BK14" s="9"/>
      <c r="BL14" s="9"/>
      <c r="BM14" s="9"/>
      <c r="BN14" s="9"/>
      <c r="BO14" s="9" t="s">
        <v>490</v>
      </c>
      <c r="BP14" s="9" t="s">
        <v>306</v>
      </c>
      <c r="BQ14" s="9"/>
      <c r="BR14" s="9" t="s">
        <v>306</v>
      </c>
      <c r="BS14" s="9"/>
      <c r="BT14" s="9"/>
      <c r="BU14" s="9"/>
      <c r="BV14" s="9"/>
      <c r="BW14" s="9" t="s">
        <v>306</v>
      </c>
      <c r="BX14" s="9"/>
      <c r="BY14" s="9"/>
      <c r="BZ14" s="9"/>
      <c r="CA14" s="9"/>
      <c r="CB14" s="9" t="s">
        <v>389</v>
      </c>
      <c r="CC14" s="9"/>
      <c r="CD14" s="9"/>
      <c r="CE14" s="9" t="s">
        <v>306</v>
      </c>
      <c r="CF14" s="9" t="s">
        <v>306</v>
      </c>
      <c r="CG14" s="9"/>
      <c r="CH14" s="9"/>
      <c r="CI14" s="9" t="s">
        <v>306</v>
      </c>
      <c r="CJ14" s="9"/>
      <c r="CK14" s="9"/>
      <c r="CL14" s="9" t="s">
        <v>314</v>
      </c>
      <c r="CM14" s="9" t="s">
        <v>491</v>
      </c>
      <c r="CN14" s="9" t="s">
        <v>306</v>
      </c>
      <c r="CO14" s="9" t="s">
        <v>44</v>
      </c>
      <c r="CP14" s="9"/>
      <c r="CQ14" s="9"/>
      <c r="CR14" s="9" t="s">
        <v>306</v>
      </c>
      <c r="CS14" s="9"/>
      <c r="CT14" s="9"/>
      <c r="CU14" s="9"/>
      <c r="CV14" s="9"/>
      <c r="CW14" s="9" t="s">
        <v>99</v>
      </c>
      <c r="CX14" s="9"/>
      <c r="CY14" s="9"/>
      <c r="CZ14" s="9"/>
      <c r="DA14" s="9"/>
      <c r="DB14" s="9"/>
      <c r="DC14" s="9" t="s">
        <v>306</v>
      </c>
      <c r="DD14" s="11">
        <v>1000</v>
      </c>
      <c r="DE14" s="11">
        <v>1000</v>
      </c>
      <c r="DF14" s="11">
        <v>1000</v>
      </c>
      <c r="DG14" s="12">
        <v>19</v>
      </c>
      <c r="DH14" s="9">
        <v>19</v>
      </c>
      <c r="DI14" s="9">
        <v>19</v>
      </c>
      <c r="DJ14" s="9">
        <v>90</v>
      </c>
      <c r="DK14" s="9">
        <v>0</v>
      </c>
      <c r="DL14" s="9">
        <v>0</v>
      </c>
      <c r="DM14" s="9">
        <v>2</v>
      </c>
      <c r="DN14" s="9">
        <v>8</v>
      </c>
      <c r="DO14" s="9">
        <v>52</v>
      </c>
      <c r="DP14" s="9">
        <v>37</v>
      </c>
      <c r="DQ14" s="9" t="s">
        <v>306</v>
      </c>
      <c r="DR14" s="9" t="s">
        <v>306</v>
      </c>
      <c r="DS14" s="9" t="s">
        <v>306</v>
      </c>
      <c r="DT14" s="10">
        <v>4.0767123287671234</v>
      </c>
      <c r="DU14" s="10">
        <v>1</v>
      </c>
      <c r="DV14" s="10">
        <f t="shared" si="0"/>
        <v>5.0767123287671234</v>
      </c>
      <c r="DW14" s="9">
        <v>55</v>
      </c>
      <c r="DX14" s="9">
        <v>11</v>
      </c>
      <c r="DY14" s="9">
        <v>9</v>
      </c>
      <c r="DZ14" s="9">
        <v>1</v>
      </c>
      <c r="EA14" s="9">
        <v>26</v>
      </c>
      <c r="EB14" s="9">
        <v>7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100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50</v>
      </c>
      <c r="EQ14" s="9">
        <v>0</v>
      </c>
      <c r="ER14" s="9">
        <v>50</v>
      </c>
      <c r="ES14" s="9">
        <v>0</v>
      </c>
      <c r="ET14" s="9">
        <v>0</v>
      </c>
      <c r="EU14" s="9">
        <v>0</v>
      </c>
      <c r="EV14" s="9" t="s">
        <v>317</v>
      </c>
      <c r="EW14" s="9" t="s">
        <v>306</v>
      </c>
      <c r="EX14" s="9" t="s">
        <v>306</v>
      </c>
      <c r="EY14" s="9" t="s">
        <v>318</v>
      </c>
      <c r="EZ14" s="9" t="s">
        <v>306</v>
      </c>
      <c r="FA14" s="9" t="s">
        <v>306</v>
      </c>
      <c r="FB14" s="9" t="s">
        <v>319</v>
      </c>
      <c r="FC14" s="9">
        <v>2</v>
      </c>
      <c r="FD14" s="9">
        <v>2</v>
      </c>
      <c r="FE14" s="9" t="s">
        <v>377</v>
      </c>
      <c r="FF14" s="9" t="s">
        <v>321</v>
      </c>
      <c r="FG14" s="9" t="s">
        <v>492</v>
      </c>
      <c r="FH14" s="9" t="s">
        <v>306</v>
      </c>
      <c r="FI14" s="9"/>
      <c r="FJ14" s="9" t="s">
        <v>306</v>
      </c>
      <c r="FK14" s="9"/>
      <c r="FL14" s="9"/>
      <c r="FM14" s="9"/>
      <c r="FN14" s="9"/>
      <c r="FO14" s="9"/>
      <c r="FP14" s="9"/>
      <c r="FQ14" s="9" t="s">
        <v>493</v>
      </c>
      <c r="FR14" s="9" t="s">
        <v>306</v>
      </c>
      <c r="FS14" s="9"/>
      <c r="FT14" s="9"/>
      <c r="FU14" s="9"/>
      <c r="FV14" s="9"/>
      <c r="FW14" s="9"/>
      <c r="FX14" s="9"/>
      <c r="FY14" s="9"/>
      <c r="FZ14" s="9" t="s">
        <v>323</v>
      </c>
      <c r="GA14" s="9" t="s">
        <v>379</v>
      </c>
      <c r="GB14" s="9" t="s">
        <v>306</v>
      </c>
      <c r="GC14" s="9" t="s">
        <v>306</v>
      </c>
      <c r="GD14" s="9" t="s">
        <v>306</v>
      </c>
      <c r="GE14" s="9" t="s">
        <v>306</v>
      </c>
      <c r="GF14" s="9"/>
      <c r="GG14" s="9"/>
      <c r="GH14" s="9"/>
      <c r="GI14" s="9" t="s">
        <v>325</v>
      </c>
      <c r="GJ14" s="9" t="s">
        <v>306</v>
      </c>
      <c r="GK14" s="9">
        <v>2.37</v>
      </c>
      <c r="GL14" s="9" t="s">
        <v>187</v>
      </c>
      <c r="GM14" s="9" t="s">
        <v>306</v>
      </c>
      <c r="GN14" s="9"/>
      <c r="GO14" s="9"/>
      <c r="GP14" s="9"/>
      <c r="GQ14" s="9"/>
      <c r="GR14" s="9"/>
      <c r="GS14" s="9">
        <v>36</v>
      </c>
      <c r="GT14" s="9" t="s">
        <v>494</v>
      </c>
      <c r="GU14" s="9"/>
      <c r="GV14" s="9"/>
      <c r="GW14" s="9"/>
      <c r="GX14" s="9" t="s">
        <v>306</v>
      </c>
      <c r="GY14" s="9" t="s">
        <v>306</v>
      </c>
      <c r="GZ14" s="9"/>
      <c r="HA14" s="9"/>
      <c r="HB14" s="9"/>
      <c r="HC14" s="9"/>
      <c r="HD14" s="9" t="s">
        <v>306</v>
      </c>
      <c r="HE14" s="9"/>
      <c r="HF14" s="9" t="s">
        <v>495</v>
      </c>
      <c r="HG14" s="9" t="s">
        <v>306</v>
      </c>
      <c r="HH14" s="9"/>
      <c r="HI14" s="9" t="s">
        <v>306</v>
      </c>
      <c r="HJ14" s="9"/>
      <c r="HK14" s="9"/>
      <c r="HL14" s="9"/>
      <c r="HM14" s="9" t="s">
        <v>306</v>
      </c>
      <c r="HN14" s="9"/>
      <c r="HO14" s="9"/>
      <c r="HP14" s="9"/>
      <c r="HQ14" s="9"/>
      <c r="HR14" s="9">
        <v>0</v>
      </c>
      <c r="HS14" s="9">
        <v>100</v>
      </c>
      <c r="HT14" s="9">
        <v>0</v>
      </c>
      <c r="HU14" s="9">
        <v>0</v>
      </c>
      <c r="HV14" s="9">
        <v>0</v>
      </c>
      <c r="HW14" s="9" t="s">
        <v>496</v>
      </c>
      <c r="HX14" s="9" t="s">
        <v>306</v>
      </c>
      <c r="HY14" s="9"/>
      <c r="HZ14" s="9"/>
      <c r="IA14" s="9" t="s">
        <v>306</v>
      </c>
      <c r="IB14" s="9" t="s">
        <v>306</v>
      </c>
      <c r="IC14" s="9"/>
      <c r="ID14" s="9"/>
      <c r="IE14" s="9" t="s">
        <v>306</v>
      </c>
      <c r="IF14" s="9"/>
      <c r="IG14" s="9"/>
      <c r="IH14" s="9" t="s">
        <v>330</v>
      </c>
      <c r="II14" s="9" t="s">
        <v>331</v>
      </c>
      <c r="IJ14" s="9" t="s">
        <v>497</v>
      </c>
      <c r="IK14" s="9" t="s">
        <v>306</v>
      </c>
      <c r="IL14" s="9"/>
      <c r="IM14" s="9" t="s">
        <v>306</v>
      </c>
      <c r="IN14" s="9"/>
      <c r="IO14" s="9" t="s">
        <v>306</v>
      </c>
      <c r="IP14" s="9" t="s">
        <v>306</v>
      </c>
      <c r="IQ14" s="9"/>
      <c r="IR14" s="9" t="s">
        <v>306</v>
      </c>
      <c r="IS14" s="9"/>
      <c r="IT14" s="9" t="s">
        <v>306</v>
      </c>
      <c r="IU14" s="9" t="s">
        <v>498</v>
      </c>
      <c r="IV14" s="9" t="s">
        <v>386</v>
      </c>
      <c r="IW14" s="9" t="s">
        <v>306</v>
      </c>
      <c r="IX14" s="9" t="s">
        <v>306</v>
      </c>
      <c r="IY14" s="9" t="s">
        <v>306</v>
      </c>
      <c r="IZ14" s="9"/>
      <c r="JA14" s="9"/>
      <c r="JB14" s="9">
        <v>1</v>
      </c>
      <c r="JC14" s="9">
        <v>3</v>
      </c>
      <c r="JD14" s="9">
        <v>100</v>
      </c>
      <c r="JE14" s="9">
        <v>27</v>
      </c>
      <c r="JF14" s="9">
        <v>14</v>
      </c>
      <c r="JG14" s="9">
        <v>3</v>
      </c>
      <c r="JH14" s="9">
        <v>0</v>
      </c>
      <c r="JI14" s="9" t="s">
        <v>499</v>
      </c>
      <c r="JJ14" s="9" t="s">
        <v>306</v>
      </c>
      <c r="JK14" s="9" t="s">
        <v>306</v>
      </c>
      <c r="JL14" s="9"/>
      <c r="JM14" s="9" t="s">
        <v>306</v>
      </c>
      <c r="JN14" s="9"/>
      <c r="JO14" s="9"/>
      <c r="JP14" s="9" t="s">
        <v>306</v>
      </c>
      <c r="JQ14" s="9"/>
      <c r="JR14" s="9" t="s">
        <v>306</v>
      </c>
      <c r="JS14" s="9" t="s">
        <v>306</v>
      </c>
      <c r="JT14" s="9" t="s">
        <v>362</v>
      </c>
      <c r="JU14" s="9" t="s">
        <v>306</v>
      </c>
      <c r="JV14" s="9" t="s">
        <v>306</v>
      </c>
      <c r="JW14" s="9" t="s">
        <v>306</v>
      </c>
      <c r="JX14" s="9"/>
      <c r="JY14" s="9"/>
      <c r="JZ14" s="9" t="s">
        <v>306</v>
      </c>
      <c r="KA14" s="9" t="s">
        <v>306</v>
      </c>
      <c r="KB14" s="9" t="s">
        <v>267</v>
      </c>
      <c r="KC14" s="9"/>
      <c r="KD14" s="9" t="s">
        <v>306</v>
      </c>
      <c r="KE14" s="9"/>
      <c r="KF14" s="9"/>
      <c r="KG14" s="9" t="s">
        <v>337</v>
      </c>
      <c r="KH14" s="9" t="s">
        <v>338</v>
      </c>
      <c r="KI14" s="9" t="s">
        <v>339</v>
      </c>
      <c r="KJ14" s="9" t="s">
        <v>306</v>
      </c>
      <c r="KK14" s="9" t="s">
        <v>445</v>
      </c>
      <c r="KL14" s="9"/>
      <c r="KM14" s="9" t="s">
        <v>306</v>
      </c>
      <c r="KN14" s="9"/>
      <c r="KO14" s="9" t="s">
        <v>306</v>
      </c>
      <c r="KP14" s="9"/>
      <c r="KQ14" s="9"/>
      <c r="KR14" s="9"/>
      <c r="KS14" s="9"/>
      <c r="KT14" s="9"/>
      <c r="KU14" s="9">
        <v>4</v>
      </c>
      <c r="KV14" s="9">
        <v>2.5</v>
      </c>
      <c r="KW14" s="9">
        <v>2.2000000000000002</v>
      </c>
      <c r="KX14" s="9">
        <v>2.5</v>
      </c>
      <c r="KY14" s="9" t="s">
        <v>500</v>
      </c>
      <c r="KZ14" s="9" t="s">
        <v>306</v>
      </c>
      <c r="LA14" s="9" t="s">
        <v>306</v>
      </c>
      <c r="LB14" s="9" t="s">
        <v>306</v>
      </c>
      <c r="LC14" s="9"/>
      <c r="LD14" s="9"/>
      <c r="LE14" s="9"/>
      <c r="LF14" s="9"/>
      <c r="LG14" s="9" t="s">
        <v>341</v>
      </c>
      <c r="LH14" s="9" t="s">
        <v>341</v>
      </c>
      <c r="LI14" s="9" t="s">
        <v>454</v>
      </c>
      <c r="LJ14" s="9" t="s">
        <v>307</v>
      </c>
      <c r="LK14" s="9" t="s">
        <v>342</v>
      </c>
    </row>
    <row r="15" spans="1:323" x14ac:dyDescent="0.3">
      <c r="A15" s="8"/>
      <c r="B15" s="9" t="s">
        <v>501</v>
      </c>
      <c r="C15" s="9" t="s">
        <v>302</v>
      </c>
      <c r="D15" s="9" t="s">
        <v>631</v>
      </c>
      <c r="E15" s="9" t="s">
        <v>301</v>
      </c>
      <c r="F15" s="9" t="s">
        <v>368</v>
      </c>
      <c r="G15" s="9" t="s">
        <v>321</v>
      </c>
      <c r="H15" s="9" t="s">
        <v>321</v>
      </c>
      <c r="I15" s="9" t="s">
        <v>321</v>
      </c>
      <c r="J15" s="9" t="s">
        <v>344</v>
      </c>
      <c r="K15" s="9" t="s">
        <v>306</v>
      </c>
      <c r="L15" s="9" t="s">
        <v>306</v>
      </c>
      <c r="M15" s="9" t="s">
        <v>306</v>
      </c>
      <c r="N15" s="9" t="s">
        <v>306</v>
      </c>
      <c r="O15" s="9" t="s">
        <v>306</v>
      </c>
      <c r="P15" s="9" t="s">
        <v>306</v>
      </c>
      <c r="Q15" s="9" t="s">
        <v>306</v>
      </c>
      <c r="R15" s="9" t="s">
        <v>306</v>
      </c>
      <c r="S15" s="9">
        <v>63</v>
      </c>
      <c r="T15" s="9">
        <v>50</v>
      </c>
      <c r="U15" s="9" t="s">
        <v>308</v>
      </c>
      <c r="V15" s="9" t="s">
        <v>372</v>
      </c>
      <c r="W15" s="9" t="s">
        <v>346</v>
      </c>
      <c r="X15" s="10">
        <v>70</v>
      </c>
      <c r="Y15" s="10">
        <v>30</v>
      </c>
      <c r="Z15" s="10">
        <v>0</v>
      </c>
      <c r="AA15" s="10">
        <v>0</v>
      </c>
      <c r="AB15" s="10">
        <v>0</v>
      </c>
      <c r="AC15" s="10">
        <v>0</v>
      </c>
      <c r="AD15" s="10">
        <v>100</v>
      </c>
      <c r="AE15" s="10">
        <v>0</v>
      </c>
      <c r="AF15" s="10">
        <v>0</v>
      </c>
      <c r="AG15" s="10">
        <v>0</v>
      </c>
      <c r="AH15" s="10">
        <v>0</v>
      </c>
      <c r="AI15" s="9" t="s">
        <v>307</v>
      </c>
      <c r="AJ15" s="9">
        <v>50</v>
      </c>
      <c r="AK15" s="9">
        <v>0</v>
      </c>
      <c r="AL15" s="9">
        <v>0</v>
      </c>
      <c r="AM15" s="9">
        <v>0</v>
      </c>
      <c r="AN15" s="9">
        <v>50</v>
      </c>
      <c r="AO15" s="9">
        <v>60</v>
      </c>
      <c r="AP15" s="9">
        <v>20</v>
      </c>
      <c r="AQ15" s="9">
        <v>20</v>
      </c>
      <c r="AR15" s="9" t="s">
        <v>50</v>
      </c>
      <c r="AS15" s="9"/>
      <c r="AT15" s="9"/>
      <c r="AU15" s="9"/>
      <c r="AV15" s="9"/>
      <c r="AW15" s="9"/>
      <c r="AX15" s="9"/>
      <c r="AY15" s="9"/>
      <c r="AZ15" s="9"/>
      <c r="BA15" s="9"/>
      <c r="BB15" s="9" t="s">
        <v>306</v>
      </c>
      <c r="BC15" s="9" t="s">
        <v>311</v>
      </c>
      <c r="BD15" s="9" t="s">
        <v>306</v>
      </c>
      <c r="BE15" s="9" t="s">
        <v>502</v>
      </c>
      <c r="BF15" s="9" t="s">
        <v>306</v>
      </c>
      <c r="BG15" s="9" t="s">
        <v>306</v>
      </c>
      <c r="BH15" s="9"/>
      <c r="BI15" s="9" t="s">
        <v>306</v>
      </c>
      <c r="BJ15" s="9"/>
      <c r="BK15" s="9"/>
      <c r="BL15" s="9"/>
      <c r="BM15" s="9"/>
      <c r="BN15" s="9"/>
      <c r="BO15" s="9" t="s">
        <v>503</v>
      </c>
      <c r="BP15" s="9" t="s">
        <v>306</v>
      </c>
      <c r="BQ15" s="9"/>
      <c r="BR15" s="9" t="s">
        <v>306</v>
      </c>
      <c r="BS15" s="9"/>
      <c r="BT15" s="9"/>
      <c r="BU15" s="9" t="s">
        <v>306</v>
      </c>
      <c r="BV15" s="9"/>
      <c r="BW15" s="9"/>
      <c r="BX15" s="9"/>
      <c r="BY15" s="9"/>
      <c r="BZ15" s="9"/>
      <c r="CA15" s="9"/>
      <c r="CB15" s="9" t="s">
        <v>504</v>
      </c>
      <c r="CC15" s="9"/>
      <c r="CD15" s="9" t="s">
        <v>306</v>
      </c>
      <c r="CE15" s="9"/>
      <c r="CF15" s="9" t="s">
        <v>306</v>
      </c>
      <c r="CG15" s="9" t="s">
        <v>306</v>
      </c>
      <c r="CH15" s="9"/>
      <c r="CI15" s="9"/>
      <c r="CJ15" s="9"/>
      <c r="CK15" s="9"/>
      <c r="CL15" s="9" t="s">
        <v>314</v>
      </c>
      <c r="CM15" s="9" t="s">
        <v>315</v>
      </c>
      <c r="CN15" s="9" t="s">
        <v>306</v>
      </c>
      <c r="CO15" s="9" t="s">
        <v>44</v>
      </c>
      <c r="CP15" s="9"/>
      <c r="CQ15" s="9"/>
      <c r="CR15" s="9" t="s">
        <v>306</v>
      </c>
      <c r="CS15" s="9"/>
      <c r="CT15" s="9"/>
      <c r="CU15" s="9"/>
      <c r="CV15" s="9"/>
      <c r="CW15" s="9" t="s">
        <v>99</v>
      </c>
      <c r="CX15" s="9"/>
      <c r="CY15" s="9"/>
      <c r="CZ15" s="9"/>
      <c r="DA15" s="9"/>
      <c r="DB15" s="9"/>
      <c r="DC15" s="9" t="s">
        <v>306</v>
      </c>
      <c r="DD15" s="11">
        <v>1155</v>
      </c>
      <c r="DE15" s="11">
        <v>1160</v>
      </c>
      <c r="DF15" s="11">
        <v>1150</v>
      </c>
      <c r="DG15" s="12">
        <v>21</v>
      </c>
      <c r="DH15" s="9">
        <v>21</v>
      </c>
      <c r="DI15" s="9">
        <v>21</v>
      </c>
      <c r="DJ15" s="9">
        <v>93</v>
      </c>
      <c r="DK15" s="9">
        <v>0</v>
      </c>
      <c r="DL15" s="9">
        <v>0</v>
      </c>
      <c r="DM15" s="9">
        <v>2</v>
      </c>
      <c r="DN15" s="9">
        <v>5</v>
      </c>
      <c r="DO15" s="9">
        <v>38</v>
      </c>
      <c r="DP15" s="9">
        <v>30</v>
      </c>
      <c r="DQ15" s="9" t="s">
        <v>306</v>
      </c>
      <c r="DR15" s="9" t="s">
        <v>306</v>
      </c>
      <c r="DS15" s="9" t="s">
        <v>306</v>
      </c>
      <c r="DT15" s="10">
        <v>0.5547945205479452</v>
      </c>
      <c r="DU15" s="10">
        <v>3.1643835616438354</v>
      </c>
      <c r="DV15" s="10">
        <f t="shared" si="0"/>
        <v>3.7191780821917808</v>
      </c>
      <c r="DW15" s="9">
        <v>45</v>
      </c>
      <c r="DX15" s="9">
        <v>15</v>
      </c>
      <c r="DY15" s="9">
        <v>21</v>
      </c>
      <c r="DZ15" s="9">
        <v>2</v>
      </c>
      <c r="EA15" s="9">
        <v>45</v>
      </c>
      <c r="EB15" s="9">
        <v>24</v>
      </c>
      <c r="EC15" s="9">
        <v>0</v>
      </c>
      <c r="ED15" s="9">
        <v>0</v>
      </c>
      <c r="EE15" s="9">
        <v>1</v>
      </c>
      <c r="EF15" s="9">
        <v>0</v>
      </c>
      <c r="EG15" s="9">
        <v>0</v>
      </c>
      <c r="EH15" s="9">
        <v>60</v>
      </c>
      <c r="EI15" s="9">
        <v>0</v>
      </c>
      <c r="EJ15" s="9">
        <v>20</v>
      </c>
      <c r="EK15" s="9">
        <v>0</v>
      </c>
      <c r="EL15" s="9">
        <v>20</v>
      </c>
      <c r="EM15" s="9">
        <v>0</v>
      </c>
      <c r="EN15" s="9">
        <v>0</v>
      </c>
      <c r="EO15" s="9">
        <v>0</v>
      </c>
      <c r="EP15" s="9">
        <v>60</v>
      </c>
      <c r="EQ15" s="9">
        <v>0</v>
      </c>
      <c r="ER15" s="9">
        <v>30</v>
      </c>
      <c r="ES15" s="9">
        <v>0</v>
      </c>
      <c r="ET15" s="9">
        <v>10</v>
      </c>
      <c r="EU15" s="9">
        <v>0</v>
      </c>
      <c r="EV15" s="9" t="s">
        <v>317</v>
      </c>
      <c r="EW15" s="9" t="s">
        <v>306</v>
      </c>
      <c r="EX15" s="9" t="s">
        <v>306</v>
      </c>
      <c r="EY15" s="9" t="s">
        <v>318</v>
      </c>
      <c r="EZ15" s="9" t="s">
        <v>306</v>
      </c>
      <c r="FA15" s="9" t="s">
        <v>306</v>
      </c>
      <c r="FB15" s="9" t="s">
        <v>319</v>
      </c>
      <c r="FC15" s="9">
        <v>2</v>
      </c>
      <c r="FD15" s="9">
        <v>2</v>
      </c>
      <c r="FE15" s="9" t="s">
        <v>377</v>
      </c>
      <c r="FF15" s="9" t="s">
        <v>352</v>
      </c>
      <c r="FG15" s="9" t="s">
        <v>492</v>
      </c>
      <c r="FH15" s="9" t="s">
        <v>306</v>
      </c>
      <c r="FI15" s="9"/>
      <c r="FJ15" s="9" t="s">
        <v>306</v>
      </c>
      <c r="FK15" s="9"/>
      <c r="FL15" s="9"/>
      <c r="FM15" s="9"/>
      <c r="FN15" s="9"/>
      <c r="FO15" s="9"/>
      <c r="FP15" s="9"/>
      <c r="FQ15" s="9" t="s">
        <v>505</v>
      </c>
      <c r="FR15" s="9" t="s">
        <v>306</v>
      </c>
      <c r="FS15" s="9"/>
      <c r="FT15" s="9"/>
      <c r="FU15" s="9"/>
      <c r="FV15" s="9" t="s">
        <v>306</v>
      </c>
      <c r="FW15" s="9" t="s">
        <v>306</v>
      </c>
      <c r="FX15" s="9"/>
      <c r="FY15" s="9"/>
      <c r="FZ15" s="9" t="s">
        <v>323</v>
      </c>
      <c r="GA15" s="9" t="s">
        <v>379</v>
      </c>
      <c r="GB15" s="9" t="s">
        <v>306</v>
      </c>
      <c r="GC15" s="9" t="s">
        <v>306</v>
      </c>
      <c r="GD15" s="9" t="s">
        <v>306</v>
      </c>
      <c r="GE15" s="9" t="s">
        <v>306</v>
      </c>
      <c r="GF15" s="9"/>
      <c r="GG15" s="9"/>
      <c r="GH15" s="9"/>
      <c r="GI15" s="9" t="s">
        <v>325</v>
      </c>
      <c r="GJ15" s="9" t="s">
        <v>306</v>
      </c>
      <c r="GK15" s="9">
        <v>2.2000000000000002</v>
      </c>
      <c r="GL15" s="9" t="s">
        <v>380</v>
      </c>
      <c r="GM15" s="9" t="s">
        <v>306</v>
      </c>
      <c r="GN15" s="9" t="s">
        <v>306</v>
      </c>
      <c r="GO15" s="9"/>
      <c r="GP15" s="9"/>
      <c r="GQ15" s="9"/>
      <c r="GR15" s="9"/>
      <c r="GS15" s="9">
        <v>36</v>
      </c>
      <c r="GT15" s="9" t="s">
        <v>506</v>
      </c>
      <c r="GU15" s="9"/>
      <c r="GV15" s="9" t="s">
        <v>306</v>
      </c>
      <c r="GW15" s="9"/>
      <c r="GX15" s="9"/>
      <c r="GY15" s="9" t="s">
        <v>306</v>
      </c>
      <c r="GZ15" s="9"/>
      <c r="HA15" s="9"/>
      <c r="HB15" s="9"/>
      <c r="HC15" s="9"/>
      <c r="HD15" s="9" t="s">
        <v>306</v>
      </c>
      <c r="HE15" s="9"/>
      <c r="HF15" s="9" t="s">
        <v>507</v>
      </c>
      <c r="HG15" s="9" t="s">
        <v>306</v>
      </c>
      <c r="HH15" s="9" t="s">
        <v>306</v>
      </c>
      <c r="HI15" s="9"/>
      <c r="HJ15" s="9"/>
      <c r="HK15" s="9"/>
      <c r="HL15" s="9"/>
      <c r="HM15" s="9" t="s">
        <v>306</v>
      </c>
      <c r="HN15" s="9"/>
      <c r="HO15" s="9"/>
      <c r="HP15" s="9"/>
      <c r="HQ15" s="9"/>
      <c r="HR15" s="9">
        <v>0</v>
      </c>
      <c r="HS15" s="9">
        <v>0</v>
      </c>
      <c r="HT15" s="9">
        <v>100</v>
      </c>
      <c r="HU15" s="9">
        <v>0</v>
      </c>
      <c r="HV15" s="9">
        <v>0</v>
      </c>
      <c r="HW15" s="9" t="s">
        <v>508</v>
      </c>
      <c r="HX15" s="9"/>
      <c r="HY15" s="9" t="s">
        <v>306</v>
      </c>
      <c r="HZ15" s="9" t="s">
        <v>306</v>
      </c>
      <c r="IA15" s="9" t="s">
        <v>306</v>
      </c>
      <c r="IB15" s="9" t="s">
        <v>306</v>
      </c>
      <c r="IC15" s="9"/>
      <c r="ID15" s="9" t="s">
        <v>306</v>
      </c>
      <c r="IE15" s="9" t="s">
        <v>306</v>
      </c>
      <c r="IF15" s="9"/>
      <c r="IG15" s="9"/>
      <c r="IH15" s="9" t="s">
        <v>330</v>
      </c>
      <c r="II15" s="9" t="s">
        <v>331</v>
      </c>
      <c r="IJ15" s="9" t="s">
        <v>443</v>
      </c>
      <c r="IK15" s="9" t="s">
        <v>306</v>
      </c>
      <c r="IL15" s="9"/>
      <c r="IM15" s="9" t="s">
        <v>306</v>
      </c>
      <c r="IN15" s="9"/>
      <c r="IO15" s="9"/>
      <c r="IP15" s="9"/>
      <c r="IQ15" s="9"/>
      <c r="IR15" s="9"/>
      <c r="IS15" s="9"/>
      <c r="IT15" s="9" t="s">
        <v>306</v>
      </c>
      <c r="IU15" s="9" t="s">
        <v>385</v>
      </c>
      <c r="IV15" s="9" t="s">
        <v>361</v>
      </c>
      <c r="IW15" s="9" t="s">
        <v>306</v>
      </c>
      <c r="IX15" s="9" t="s">
        <v>306</v>
      </c>
      <c r="IY15" s="9" t="s">
        <v>306</v>
      </c>
      <c r="IZ15" s="9" t="s">
        <v>306</v>
      </c>
      <c r="JA15" s="9" t="s">
        <v>306</v>
      </c>
      <c r="JB15" s="9">
        <v>0</v>
      </c>
      <c r="JC15" s="9">
        <v>3</v>
      </c>
      <c r="JD15" s="9">
        <v>100</v>
      </c>
      <c r="JE15" s="9">
        <v>27</v>
      </c>
      <c r="JF15" s="9">
        <v>419</v>
      </c>
      <c r="JG15" s="9">
        <v>2</v>
      </c>
      <c r="JH15" s="9">
        <v>1</v>
      </c>
      <c r="JI15" s="9" t="s">
        <v>509</v>
      </c>
      <c r="JJ15" s="9" t="s">
        <v>306</v>
      </c>
      <c r="JK15" s="9" t="s">
        <v>306</v>
      </c>
      <c r="JL15" s="9"/>
      <c r="JM15" s="9" t="s">
        <v>306</v>
      </c>
      <c r="JN15" s="9"/>
      <c r="JO15" s="9"/>
      <c r="JP15" s="9" t="s">
        <v>306</v>
      </c>
      <c r="JQ15" s="9" t="s">
        <v>306</v>
      </c>
      <c r="JR15" s="9" t="s">
        <v>306</v>
      </c>
      <c r="JS15" s="9" t="s">
        <v>306</v>
      </c>
      <c r="JT15" s="9" t="s">
        <v>336</v>
      </c>
      <c r="JU15" s="9" t="s">
        <v>306</v>
      </c>
      <c r="JV15" s="9" t="s">
        <v>306</v>
      </c>
      <c r="JW15" s="9" t="s">
        <v>306</v>
      </c>
      <c r="JX15" s="9" t="s">
        <v>306</v>
      </c>
      <c r="JY15" s="9"/>
      <c r="JZ15" s="9" t="s">
        <v>306</v>
      </c>
      <c r="KA15" s="9" t="s">
        <v>306</v>
      </c>
      <c r="KB15" s="9" t="s">
        <v>363</v>
      </c>
      <c r="KC15" s="9" t="s">
        <v>306</v>
      </c>
      <c r="KD15" s="9" t="s">
        <v>306</v>
      </c>
      <c r="KE15" s="9"/>
      <c r="KF15" s="9"/>
      <c r="KG15" s="9" t="s">
        <v>337</v>
      </c>
      <c r="KH15" s="9" t="s">
        <v>338</v>
      </c>
      <c r="KI15" s="9" t="s">
        <v>339</v>
      </c>
      <c r="KJ15" s="9" t="s">
        <v>306</v>
      </c>
      <c r="KK15" s="9" t="s">
        <v>510</v>
      </c>
      <c r="KL15" s="9" t="s">
        <v>306</v>
      </c>
      <c r="KM15" s="9" t="s">
        <v>306</v>
      </c>
      <c r="KN15" s="9" t="s">
        <v>306</v>
      </c>
      <c r="KO15" s="9" t="s">
        <v>306</v>
      </c>
      <c r="KP15" s="9"/>
      <c r="KQ15" s="9"/>
      <c r="KR15" s="9"/>
      <c r="KS15" s="9"/>
      <c r="KT15" s="9"/>
      <c r="KU15" s="9">
        <v>20</v>
      </c>
      <c r="KV15" s="9">
        <v>3.15</v>
      </c>
      <c r="KW15" s="9">
        <v>2.9</v>
      </c>
      <c r="KX15" s="9">
        <v>3</v>
      </c>
      <c r="KY15" s="9" t="s">
        <v>397</v>
      </c>
      <c r="KZ15" s="9"/>
      <c r="LA15" s="9" t="s">
        <v>306</v>
      </c>
      <c r="LB15" s="9" t="s">
        <v>306</v>
      </c>
      <c r="LC15" s="9" t="s">
        <v>306</v>
      </c>
      <c r="LD15" s="9" t="s">
        <v>306</v>
      </c>
      <c r="LE15" s="9"/>
      <c r="LF15" s="9"/>
      <c r="LG15" s="9" t="s">
        <v>341</v>
      </c>
      <c r="LH15" s="9" t="s">
        <v>341</v>
      </c>
      <c r="LI15" s="9" t="s">
        <v>341</v>
      </c>
      <c r="LJ15" s="9" t="s">
        <v>306</v>
      </c>
      <c r="LK15" s="9" t="s">
        <v>342</v>
      </c>
    </row>
    <row r="16" spans="1:323" x14ac:dyDescent="0.3">
      <c r="A16" s="8"/>
      <c r="B16" s="9" t="s">
        <v>519</v>
      </c>
      <c r="C16" s="9" t="s">
        <v>367</v>
      </c>
      <c r="D16" s="9" t="s">
        <v>631</v>
      </c>
      <c r="E16" s="9" t="s">
        <v>301</v>
      </c>
      <c r="F16" s="9" t="s">
        <v>303</v>
      </c>
      <c r="G16" s="9" t="s">
        <v>321</v>
      </c>
      <c r="H16" s="9" t="s">
        <v>369</v>
      </c>
      <c r="I16" s="9" t="s">
        <v>304</v>
      </c>
      <c r="J16" s="9" t="s">
        <v>511</v>
      </c>
      <c r="K16" s="9" t="s">
        <v>306</v>
      </c>
      <c r="L16" s="9"/>
      <c r="M16" s="9"/>
      <c r="N16" s="9" t="s">
        <v>306</v>
      </c>
      <c r="O16" s="9" t="s">
        <v>306</v>
      </c>
      <c r="P16" s="9"/>
      <c r="Q16" s="9"/>
      <c r="R16" s="9"/>
      <c r="S16" s="9">
        <v>40</v>
      </c>
      <c r="T16" s="9">
        <v>22</v>
      </c>
      <c r="U16" s="9" t="s">
        <v>308</v>
      </c>
      <c r="V16" s="9" t="s">
        <v>345</v>
      </c>
      <c r="W16" s="9" t="s">
        <v>346</v>
      </c>
      <c r="X16" s="10">
        <v>20</v>
      </c>
      <c r="Y16" s="10">
        <v>80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100</v>
      </c>
      <c r="AI16" s="9" t="s">
        <v>307</v>
      </c>
      <c r="AJ16" s="9">
        <v>100</v>
      </c>
      <c r="AK16" s="9">
        <v>0</v>
      </c>
      <c r="AL16" s="9">
        <v>0</v>
      </c>
      <c r="AM16" s="9">
        <v>0</v>
      </c>
      <c r="AN16" s="9">
        <v>0</v>
      </c>
      <c r="AO16" s="9">
        <v>99</v>
      </c>
      <c r="AP16" s="9">
        <v>1</v>
      </c>
      <c r="AQ16" s="9">
        <v>0</v>
      </c>
      <c r="AR16" s="9" t="s">
        <v>43</v>
      </c>
      <c r="AS16" s="9"/>
      <c r="AT16" s="9"/>
      <c r="AU16" s="9" t="s">
        <v>306</v>
      </c>
      <c r="AV16" s="9"/>
      <c r="AW16" s="9"/>
      <c r="AX16" s="9"/>
      <c r="AY16" s="9"/>
      <c r="AZ16" s="9"/>
      <c r="BA16" s="9"/>
      <c r="BB16" s="9"/>
      <c r="BC16" s="9" t="s">
        <v>400</v>
      </c>
      <c r="BD16" s="9" t="s">
        <v>306</v>
      </c>
      <c r="BE16" s="9" t="s">
        <v>512</v>
      </c>
      <c r="BF16" s="9" t="s">
        <v>306</v>
      </c>
      <c r="BG16" s="9"/>
      <c r="BH16" s="9" t="s">
        <v>306</v>
      </c>
      <c r="BI16" s="9"/>
      <c r="BJ16" s="9"/>
      <c r="BK16" s="9"/>
      <c r="BL16" s="9"/>
      <c r="BM16" s="9"/>
      <c r="BN16" s="9"/>
      <c r="BO16" s="9" t="s">
        <v>513</v>
      </c>
      <c r="BP16" s="9" t="s">
        <v>306</v>
      </c>
      <c r="BQ16" s="9"/>
      <c r="BR16" s="9"/>
      <c r="BS16" s="9"/>
      <c r="BT16" s="9"/>
      <c r="BU16" s="9"/>
      <c r="BV16" s="9"/>
      <c r="BW16" s="9" t="s">
        <v>306</v>
      </c>
      <c r="BX16" s="9"/>
      <c r="BY16" s="9"/>
      <c r="BZ16" s="9"/>
      <c r="CA16" s="9"/>
      <c r="CB16" s="9" t="s">
        <v>514</v>
      </c>
      <c r="CC16" s="9"/>
      <c r="CD16" s="9"/>
      <c r="CE16" s="9" t="s">
        <v>306</v>
      </c>
      <c r="CF16" s="9" t="s">
        <v>306</v>
      </c>
      <c r="CG16" s="9" t="s">
        <v>306</v>
      </c>
      <c r="CH16" s="9"/>
      <c r="CI16" s="9"/>
      <c r="CJ16" s="9"/>
      <c r="CK16" s="9"/>
      <c r="CL16" s="9" t="s">
        <v>314</v>
      </c>
      <c r="CM16" s="9" t="s">
        <v>315</v>
      </c>
      <c r="CN16" s="9" t="s">
        <v>307</v>
      </c>
      <c r="CO16" s="9" t="s">
        <v>92</v>
      </c>
      <c r="CP16" s="9"/>
      <c r="CQ16" s="9"/>
      <c r="CR16" s="9"/>
      <c r="CS16" s="9"/>
      <c r="CT16" s="9"/>
      <c r="CU16" s="9"/>
      <c r="CV16" s="9" t="s">
        <v>306</v>
      </c>
      <c r="CW16" s="9" t="s">
        <v>98</v>
      </c>
      <c r="CX16" s="9"/>
      <c r="CY16" s="9"/>
      <c r="CZ16" s="9"/>
      <c r="DA16" s="9"/>
      <c r="DB16" s="9" t="s">
        <v>306</v>
      </c>
      <c r="DC16" s="9"/>
      <c r="DD16" s="11">
        <v>1916.6666666666667</v>
      </c>
      <c r="DE16" s="11">
        <v>1800</v>
      </c>
      <c r="DF16" s="11">
        <v>2000</v>
      </c>
      <c r="DG16" s="12">
        <v>32.916666666666664</v>
      </c>
      <c r="DH16" s="9">
        <v>30</v>
      </c>
      <c r="DI16" s="9">
        <v>35</v>
      </c>
      <c r="DJ16" s="9">
        <v>91.9</v>
      </c>
      <c r="DK16" s="9">
        <v>0</v>
      </c>
      <c r="DL16" s="9">
        <v>0</v>
      </c>
      <c r="DM16" s="9">
        <v>0.1</v>
      </c>
      <c r="DN16" s="9">
        <v>8</v>
      </c>
      <c r="DO16" s="9">
        <v>6</v>
      </c>
      <c r="DP16" s="9">
        <v>0.17</v>
      </c>
      <c r="DQ16" s="9" t="s">
        <v>306</v>
      </c>
      <c r="DR16" s="9" t="s">
        <v>306</v>
      </c>
      <c r="DS16" s="9" t="s">
        <v>307</v>
      </c>
      <c r="DT16" s="10">
        <v>1.4794520547945205</v>
      </c>
      <c r="DU16" s="10">
        <v>2</v>
      </c>
      <c r="DV16" s="10">
        <f t="shared" si="0"/>
        <v>3.4794520547945202</v>
      </c>
      <c r="DW16" s="9">
        <v>70</v>
      </c>
      <c r="DX16" s="9">
        <v>7</v>
      </c>
      <c r="DY16" s="9">
        <v>14</v>
      </c>
      <c r="DZ16" s="9">
        <v>0</v>
      </c>
      <c r="EA16" s="9">
        <v>36</v>
      </c>
      <c r="EB16" s="9">
        <v>35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100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100</v>
      </c>
      <c r="ER16" s="9">
        <v>0</v>
      </c>
      <c r="ES16" s="9">
        <v>0</v>
      </c>
      <c r="ET16" s="9">
        <v>0</v>
      </c>
      <c r="EU16" s="9">
        <v>0</v>
      </c>
      <c r="EV16" s="9" t="s">
        <v>317</v>
      </c>
      <c r="EW16" s="9" t="s">
        <v>307</v>
      </c>
      <c r="EX16" s="9" t="s">
        <v>306</v>
      </c>
      <c r="EY16" s="9" t="s">
        <v>459</v>
      </c>
      <c r="EZ16" s="9" t="s">
        <v>306</v>
      </c>
      <c r="FA16" s="9" t="s">
        <v>306</v>
      </c>
      <c r="FB16" s="9" t="s">
        <v>319</v>
      </c>
      <c r="FC16" s="9">
        <v>2</v>
      </c>
      <c r="FD16" s="9">
        <v>2</v>
      </c>
      <c r="FE16" s="9" t="s">
        <v>377</v>
      </c>
      <c r="FF16" s="9" t="s">
        <v>428</v>
      </c>
      <c r="FG16" s="9" t="s">
        <v>164</v>
      </c>
      <c r="FH16" s="9"/>
      <c r="FI16" s="9"/>
      <c r="FJ16" s="9"/>
      <c r="FK16" s="9"/>
      <c r="FL16" s="9"/>
      <c r="FM16" s="9"/>
      <c r="FN16" s="9"/>
      <c r="FO16" s="9"/>
      <c r="FP16" s="9" t="s">
        <v>306</v>
      </c>
      <c r="FQ16" s="9" t="s">
        <v>173</v>
      </c>
      <c r="FR16" s="9"/>
      <c r="FS16" s="9"/>
      <c r="FT16" s="9"/>
      <c r="FU16" s="9"/>
      <c r="FV16" s="9"/>
      <c r="FW16" s="9"/>
      <c r="FX16" s="9"/>
      <c r="FY16" s="9" t="s">
        <v>306</v>
      </c>
      <c r="FZ16" s="9" t="s">
        <v>378</v>
      </c>
      <c r="GA16" s="9" t="s">
        <v>515</v>
      </c>
      <c r="GB16" s="9"/>
      <c r="GC16" s="9" t="s">
        <v>306</v>
      </c>
      <c r="GD16" s="9" t="s">
        <v>306</v>
      </c>
      <c r="GE16" s="9" t="s">
        <v>306</v>
      </c>
      <c r="GF16" s="9"/>
      <c r="GG16" s="9"/>
      <c r="GH16" s="9"/>
      <c r="GI16" s="9" t="s">
        <v>440</v>
      </c>
      <c r="GJ16" s="9" t="s">
        <v>306</v>
      </c>
      <c r="GK16" s="9">
        <v>2</v>
      </c>
      <c r="GL16" s="9" t="s">
        <v>187</v>
      </c>
      <c r="GM16" s="9" t="s">
        <v>306</v>
      </c>
      <c r="GN16" s="9"/>
      <c r="GO16" s="9"/>
      <c r="GP16" s="9"/>
      <c r="GQ16" s="9"/>
      <c r="GR16" s="9"/>
      <c r="GS16" s="9">
        <v>36</v>
      </c>
      <c r="GT16" s="9" t="s">
        <v>441</v>
      </c>
      <c r="GU16" s="9"/>
      <c r="GV16" s="9" t="s">
        <v>306</v>
      </c>
      <c r="GW16" s="9"/>
      <c r="GX16" s="9" t="s">
        <v>306</v>
      </c>
      <c r="GY16" s="9" t="s">
        <v>306</v>
      </c>
      <c r="GZ16" s="9"/>
      <c r="HA16" s="9"/>
      <c r="HB16" s="9"/>
      <c r="HC16" s="9"/>
      <c r="HD16" s="9"/>
      <c r="HE16" s="9"/>
      <c r="HF16" s="9" t="s">
        <v>197</v>
      </c>
      <c r="HG16" s="9"/>
      <c r="HH16" s="9"/>
      <c r="HI16" s="9" t="s">
        <v>306</v>
      </c>
      <c r="HJ16" s="9"/>
      <c r="HK16" s="9"/>
      <c r="HL16" s="9"/>
      <c r="HM16" s="9"/>
      <c r="HN16" s="9"/>
      <c r="HO16" s="9"/>
      <c r="HP16" s="9"/>
      <c r="HQ16" s="9"/>
      <c r="HR16" s="9">
        <v>0</v>
      </c>
      <c r="HS16" s="9">
        <v>100</v>
      </c>
      <c r="HT16" s="9">
        <v>0</v>
      </c>
      <c r="HU16" s="9">
        <v>0</v>
      </c>
      <c r="HV16" s="9">
        <v>0</v>
      </c>
      <c r="HW16" s="9" t="s">
        <v>359</v>
      </c>
      <c r="HX16" s="9" t="s">
        <v>306</v>
      </c>
      <c r="HY16" s="9"/>
      <c r="HZ16" s="9"/>
      <c r="IA16" s="9"/>
      <c r="IB16" s="9" t="s">
        <v>306</v>
      </c>
      <c r="IC16" s="9"/>
      <c r="ID16" s="9"/>
      <c r="IE16" s="9" t="s">
        <v>306</v>
      </c>
      <c r="IF16" s="9"/>
      <c r="IG16" s="9"/>
      <c r="IH16" s="9" t="s">
        <v>330</v>
      </c>
      <c r="II16" s="9" t="s">
        <v>383</v>
      </c>
      <c r="IJ16" s="9" t="s">
        <v>516</v>
      </c>
      <c r="IK16" s="9" t="s">
        <v>306</v>
      </c>
      <c r="IL16" s="9"/>
      <c r="IM16" s="9" t="s">
        <v>306</v>
      </c>
      <c r="IN16" s="9" t="s">
        <v>306</v>
      </c>
      <c r="IO16" s="9"/>
      <c r="IP16" s="9"/>
      <c r="IQ16" s="9"/>
      <c r="IR16" s="9"/>
      <c r="IS16" s="9"/>
      <c r="IT16" s="9"/>
      <c r="IU16" s="9" t="s">
        <v>385</v>
      </c>
      <c r="IV16" s="9" t="s">
        <v>236</v>
      </c>
      <c r="IW16" s="9"/>
      <c r="IX16" s="9"/>
      <c r="IY16" s="9" t="s">
        <v>306</v>
      </c>
      <c r="IZ16" s="9"/>
      <c r="JA16" s="9"/>
      <c r="JB16" s="9">
        <v>0</v>
      </c>
      <c r="JC16" s="9">
        <v>3</v>
      </c>
      <c r="JD16" s="9">
        <v>90</v>
      </c>
      <c r="JE16" s="9">
        <v>21</v>
      </c>
      <c r="JF16" s="9">
        <v>14</v>
      </c>
      <c r="JG16" s="9">
        <v>2</v>
      </c>
      <c r="JH16" s="9">
        <v>1</v>
      </c>
      <c r="JI16" s="9" t="s">
        <v>517</v>
      </c>
      <c r="JJ16" s="9" t="s">
        <v>306</v>
      </c>
      <c r="JK16" s="9" t="s">
        <v>306</v>
      </c>
      <c r="JL16" s="9"/>
      <c r="JM16" s="9" t="s">
        <v>306</v>
      </c>
      <c r="JN16" s="9" t="s">
        <v>306</v>
      </c>
      <c r="JO16" s="9" t="s">
        <v>306</v>
      </c>
      <c r="JP16" s="9" t="s">
        <v>306</v>
      </c>
      <c r="JQ16" s="9"/>
      <c r="JR16" s="9" t="s">
        <v>306</v>
      </c>
      <c r="JS16" s="9" t="s">
        <v>306</v>
      </c>
      <c r="JT16" s="9" t="s">
        <v>518</v>
      </c>
      <c r="JU16" s="9"/>
      <c r="JV16" s="9" t="s">
        <v>306</v>
      </c>
      <c r="JW16" s="9" t="s">
        <v>306</v>
      </c>
      <c r="JX16" s="9"/>
      <c r="JY16" s="9"/>
      <c r="JZ16" s="9"/>
      <c r="KA16" s="9"/>
      <c r="KB16" s="9" t="s">
        <v>267</v>
      </c>
      <c r="KC16" s="9"/>
      <c r="KD16" s="9" t="s">
        <v>306</v>
      </c>
      <c r="KE16" s="9"/>
      <c r="KF16" s="9"/>
      <c r="KG16" s="9" t="s">
        <v>337</v>
      </c>
      <c r="KH16" s="9" t="s">
        <v>338</v>
      </c>
      <c r="KI16" s="9" t="s">
        <v>339</v>
      </c>
      <c r="KJ16" s="9" t="s">
        <v>306</v>
      </c>
      <c r="KK16" s="9" t="s">
        <v>435</v>
      </c>
      <c r="KL16" s="9" t="s">
        <v>306</v>
      </c>
      <c r="KM16" s="9" t="s">
        <v>306</v>
      </c>
      <c r="KN16" s="9"/>
      <c r="KO16" s="9" t="s">
        <v>306</v>
      </c>
      <c r="KP16" s="9"/>
      <c r="KQ16" s="9"/>
      <c r="KR16" s="9"/>
      <c r="KS16" s="9"/>
      <c r="KT16" s="9"/>
      <c r="KU16" s="9">
        <v>12</v>
      </c>
      <c r="KV16" s="9">
        <v>2.65</v>
      </c>
      <c r="KW16" s="9">
        <v>2.4</v>
      </c>
      <c r="KX16" s="9">
        <v>2.7</v>
      </c>
      <c r="KY16" s="9" t="s">
        <v>476</v>
      </c>
      <c r="KZ16" s="9" t="s">
        <v>306</v>
      </c>
      <c r="LA16" s="9" t="s">
        <v>306</v>
      </c>
      <c r="LB16" s="9" t="s">
        <v>306</v>
      </c>
      <c r="LC16" s="9" t="s">
        <v>306</v>
      </c>
      <c r="LD16" s="9"/>
      <c r="LE16" s="9"/>
      <c r="LF16" s="9"/>
      <c r="LG16" s="9" t="s">
        <v>341</v>
      </c>
      <c r="LH16" s="9" t="s">
        <v>341</v>
      </c>
      <c r="LI16" s="9" t="s">
        <v>341</v>
      </c>
      <c r="LJ16" s="9" t="s">
        <v>307</v>
      </c>
      <c r="LK16" s="9" t="s">
        <v>342</v>
      </c>
    </row>
    <row r="17" spans="1:323" x14ac:dyDescent="0.3">
      <c r="A17" s="8"/>
      <c r="B17" s="9" t="s">
        <v>519</v>
      </c>
      <c r="C17" s="9" t="s">
        <v>367</v>
      </c>
      <c r="D17" s="9" t="s">
        <v>635</v>
      </c>
      <c r="E17" s="9" t="s">
        <v>301</v>
      </c>
      <c r="F17" s="9" t="s">
        <v>303</v>
      </c>
      <c r="G17" s="9" t="s">
        <v>321</v>
      </c>
      <c r="H17" s="9" t="s">
        <v>369</v>
      </c>
      <c r="I17" s="9" t="s">
        <v>304</v>
      </c>
      <c r="J17" s="9" t="s">
        <v>11</v>
      </c>
      <c r="K17" s="9"/>
      <c r="L17" s="9"/>
      <c r="M17" s="9"/>
      <c r="N17" s="9"/>
      <c r="O17" s="9" t="s">
        <v>306</v>
      </c>
      <c r="P17" s="9"/>
      <c r="Q17" s="9"/>
      <c r="R17" s="9"/>
      <c r="S17" s="9">
        <v>47</v>
      </c>
      <c r="T17" s="9">
        <v>14</v>
      </c>
      <c r="U17" s="9" t="s">
        <v>308</v>
      </c>
      <c r="V17" s="9" t="s">
        <v>372</v>
      </c>
      <c r="W17" s="9" t="s">
        <v>346</v>
      </c>
      <c r="X17" s="10">
        <v>100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100</v>
      </c>
      <c r="AF17" s="10">
        <v>0</v>
      </c>
      <c r="AG17" s="10">
        <v>0</v>
      </c>
      <c r="AH17" s="10">
        <v>0</v>
      </c>
      <c r="AI17" s="9" t="s">
        <v>307</v>
      </c>
      <c r="AJ17" s="9">
        <v>100</v>
      </c>
      <c r="AK17" s="9">
        <v>0</v>
      </c>
      <c r="AL17" s="9">
        <v>0</v>
      </c>
      <c r="AM17" s="9">
        <v>0</v>
      </c>
      <c r="AN17" s="9">
        <v>0</v>
      </c>
      <c r="AO17" s="9">
        <v>90</v>
      </c>
      <c r="AP17" s="9">
        <v>10</v>
      </c>
      <c r="AQ17" s="9">
        <v>0</v>
      </c>
      <c r="AR17" s="9" t="s">
        <v>43</v>
      </c>
      <c r="AS17" s="9"/>
      <c r="AT17" s="9"/>
      <c r="AU17" s="9" t="s">
        <v>306</v>
      </c>
      <c r="AV17" s="9"/>
      <c r="AW17" s="9"/>
      <c r="AX17" s="9"/>
      <c r="AY17" s="9"/>
      <c r="AZ17" s="9"/>
      <c r="BA17" s="9"/>
      <c r="BB17" s="9"/>
      <c r="BC17" s="9" t="s">
        <v>400</v>
      </c>
      <c r="BD17" s="9" t="s">
        <v>306</v>
      </c>
      <c r="BE17" s="9" t="s">
        <v>413</v>
      </c>
      <c r="BF17" s="9" t="s">
        <v>306</v>
      </c>
      <c r="BG17" s="9" t="s">
        <v>306</v>
      </c>
      <c r="BH17" s="9" t="s">
        <v>306</v>
      </c>
      <c r="BI17" s="9"/>
      <c r="BJ17" s="9"/>
      <c r="BK17" s="9"/>
      <c r="BL17" s="9"/>
      <c r="BM17" s="9"/>
      <c r="BN17" s="9"/>
      <c r="BO17" s="9" t="s">
        <v>503</v>
      </c>
      <c r="BP17" s="9" t="s">
        <v>306</v>
      </c>
      <c r="BQ17" s="9"/>
      <c r="BR17" s="9" t="s">
        <v>306</v>
      </c>
      <c r="BS17" s="9"/>
      <c r="BT17" s="9"/>
      <c r="BU17" s="9" t="s">
        <v>306</v>
      </c>
      <c r="BV17" s="9"/>
      <c r="BW17" s="9"/>
      <c r="BX17" s="9"/>
      <c r="BY17" s="9"/>
      <c r="BZ17" s="9"/>
      <c r="CA17" s="9"/>
      <c r="CB17" s="9" t="s">
        <v>520</v>
      </c>
      <c r="CC17" s="9"/>
      <c r="CD17" s="9"/>
      <c r="CE17" s="9" t="s">
        <v>306</v>
      </c>
      <c r="CF17" s="9"/>
      <c r="CG17" s="9"/>
      <c r="CH17" s="9" t="s">
        <v>306</v>
      </c>
      <c r="CI17" s="9" t="s">
        <v>306</v>
      </c>
      <c r="CJ17" s="9"/>
      <c r="CK17" s="9"/>
      <c r="CL17" s="9" t="s">
        <v>376</v>
      </c>
      <c r="CM17" s="9" t="s">
        <v>315</v>
      </c>
      <c r="CN17" s="9" t="s">
        <v>306</v>
      </c>
      <c r="CO17" s="9" t="s">
        <v>43</v>
      </c>
      <c r="CP17" s="9" t="s">
        <v>306</v>
      </c>
      <c r="CQ17" s="9"/>
      <c r="CR17" s="9"/>
      <c r="CS17" s="9"/>
      <c r="CT17" s="9"/>
      <c r="CU17" s="9"/>
      <c r="CV17" s="9"/>
      <c r="CW17" s="9" t="s">
        <v>99</v>
      </c>
      <c r="CX17" s="9"/>
      <c r="CY17" s="9"/>
      <c r="CZ17" s="9"/>
      <c r="DA17" s="9"/>
      <c r="DB17" s="9"/>
      <c r="DC17" s="9" t="s">
        <v>306</v>
      </c>
      <c r="DD17" s="11">
        <v>900</v>
      </c>
      <c r="DE17" s="11">
        <v>900</v>
      </c>
      <c r="DF17" s="11">
        <v>900</v>
      </c>
      <c r="DG17" s="12">
        <v>35</v>
      </c>
      <c r="DH17" s="9">
        <v>35</v>
      </c>
      <c r="DI17" s="9">
        <v>35</v>
      </c>
      <c r="DJ17" s="9">
        <v>95.5</v>
      </c>
      <c r="DK17" s="9">
        <v>0</v>
      </c>
      <c r="DL17" s="9">
        <v>0</v>
      </c>
      <c r="DM17" s="9">
        <v>4</v>
      </c>
      <c r="DN17" s="9">
        <v>0.5</v>
      </c>
      <c r="DO17" s="9">
        <v>5.7</v>
      </c>
      <c r="DP17" s="9">
        <v>0.5</v>
      </c>
      <c r="DQ17" s="9" t="s">
        <v>306</v>
      </c>
      <c r="DR17" s="9" t="s">
        <v>306</v>
      </c>
      <c r="DS17" s="9" t="s">
        <v>307</v>
      </c>
      <c r="DT17" s="10">
        <v>1.726027397260274</v>
      </c>
      <c r="DU17" s="10">
        <v>1</v>
      </c>
      <c r="DV17" s="10">
        <f t="shared" si="0"/>
        <v>2.7260273972602738</v>
      </c>
      <c r="DW17" s="9">
        <v>41</v>
      </c>
      <c r="DX17" s="9">
        <v>5</v>
      </c>
      <c r="DY17" s="9">
        <v>8</v>
      </c>
      <c r="DZ17" s="9">
        <v>0</v>
      </c>
      <c r="EA17" s="9">
        <v>18</v>
      </c>
      <c r="EB17" s="9">
        <v>19</v>
      </c>
      <c r="EC17" s="9">
        <v>0</v>
      </c>
      <c r="ED17" s="9">
        <v>1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100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20</v>
      </c>
      <c r="EQ17" s="9">
        <v>0</v>
      </c>
      <c r="ER17" s="9">
        <v>80</v>
      </c>
      <c r="ES17" s="9">
        <v>0</v>
      </c>
      <c r="ET17" s="9">
        <v>0</v>
      </c>
      <c r="EU17" s="9">
        <v>0</v>
      </c>
      <c r="EV17" s="9" t="s">
        <v>317</v>
      </c>
      <c r="EW17" s="9" t="s">
        <v>306</v>
      </c>
      <c r="EX17" s="9" t="s">
        <v>306</v>
      </c>
      <c r="EY17" s="9" t="s">
        <v>318</v>
      </c>
      <c r="EZ17" s="9" t="s">
        <v>306</v>
      </c>
      <c r="FA17" s="9" t="s">
        <v>306</v>
      </c>
      <c r="FB17" s="9" t="s">
        <v>319</v>
      </c>
      <c r="FC17" s="9">
        <v>2</v>
      </c>
      <c r="FD17" s="9">
        <v>2</v>
      </c>
      <c r="FE17" s="9" t="s">
        <v>377</v>
      </c>
      <c r="FF17" s="9" t="s">
        <v>428</v>
      </c>
      <c r="FG17" s="9" t="s">
        <v>164</v>
      </c>
      <c r="FH17" s="9"/>
      <c r="FI17" s="9"/>
      <c r="FJ17" s="9"/>
      <c r="FK17" s="9"/>
      <c r="FL17" s="9"/>
      <c r="FM17" s="9"/>
      <c r="FN17" s="9"/>
      <c r="FO17" s="9"/>
      <c r="FP17" s="9" t="s">
        <v>306</v>
      </c>
      <c r="FQ17" s="9" t="s">
        <v>173</v>
      </c>
      <c r="FR17" s="9"/>
      <c r="FS17" s="9"/>
      <c r="FT17" s="9"/>
      <c r="FU17" s="9"/>
      <c r="FV17" s="9"/>
      <c r="FW17" s="9"/>
      <c r="FX17" s="9"/>
      <c r="FY17" s="9" t="s">
        <v>306</v>
      </c>
      <c r="FZ17" s="9" t="s">
        <v>378</v>
      </c>
      <c r="GA17" s="9" t="s">
        <v>379</v>
      </c>
      <c r="GB17" s="9" t="s">
        <v>306</v>
      </c>
      <c r="GC17" s="9" t="s">
        <v>306</v>
      </c>
      <c r="GD17" s="9" t="s">
        <v>306</v>
      </c>
      <c r="GE17" s="9" t="s">
        <v>306</v>
      </c>
      <c r="GF17" s="9"/>
      <c r="GG17" s="9"/>
      <c r="GH17" s="9"/>
      <c r="GI17" s="9" t="s">
        <v>325</v>
      </c>
      <c r="GJ17" s="9" t="s">
        <v>306</v>
      </c>
      <c r="GK17" s="9">
        <v>1.8</v>
      </c>
      <c r="GL17" s="9" t="s">
        <v>380</v>
      </c>
      <c r="GM17" s="9" t="s">
        <v>306</v>
      </c>
      <c r="GN17" s="9" t="s">
        <v>306</v>
      </c>
      <c r="GO17" s="9"/>
      <c r="GP17" s="9"/>
      <c r="GQ17" s="9"/>
      <c r="GR17" s="9"/>
      <c r="GS17" s="9">
        <v>36</v>
      </c>
      <c r="GT17" s="9" t="s">
        <v>521</v>
      </c>
      <c r="GU17" s="9"/>
      <c r="GV17" s="9"/>
      <c r="GW17" s="9"/>
      <c r="GX17" s="9" t="s">
        <v>306</v>
      </c>
      <c r="GY17" s="9" t="s">
        <v>306</v>
      </c>
      <c r="GZ17" s="9"/>
      <c r="HA17" s="9"/>
      <c r="HB17" s="9"/>
      <c r="HC17" s="9"/>
      <c r="HD17" s="9"/>
      <c r="HE17" s="9"/>
      <c r="HF17" s="9" t="s">
        <v>197</v>
      </c>
      <c r="HG17" s="9"/>
      <c r="HH17" s="9"/>
      <c r="HI17" s="9" t="s">
        <v>306</v>
      </c>
      <c r="HJ17" s="9"/>
      <c r="HK17" s="9"/>
      <c r="HL17" s="9"/>
      <c r="HM17" s="9"/>
      <c r="HN17" s="9"/>
      <c r="HO17" s="9"/>
      <c r="HP17" s="9"/>
      <c r="HQ17" s="9"/>
      <c r="HR17" s="9">
        <v>0</v>
      </c>
      <c r="HS17" s="9">
        <v>100</v>
      </c>
      <c r="HT17" s="9">
        <v>0</v>
      </c>
      <c r="HU17" s="9">
        <v>0</v>
      </c>
      <c r="HV17" s="9">
        <v>0</v>
      </c>
      <c r="HW17" s="9" t="s">
        <v>522</v>
      </c>
      <c r="HX17" s="9" t="s">
        <v>306</v>
      </c>
      <c r="HY17" s="9"/>
      <c r="HZ17" s="9"/>
      <c r="IA17" s="9"/>
      <c r="IB17" s="9" t="s">
        <v>306</v>
      </c>
      <c r="IC17" s="9"/>
      <c r="ID17" s="9"/>
      <c r="IE17" s="9"/>
      <c r="IF17" s="9"/>
      <c r="IG17" s="9"/>
      <c r="IH17" s="9" t="s">
        <v>330</v>
      </c>
      <c r="II17" s="9" t="s">
        <v>383</v>
      </c>
      <c r="IJ17" s="9" t="s">
        <v>523</v>
      </c>
      <c r="IK17" s="9" t="s">
        <v>306</v>
      </c>
      <c r="IL17" s="9"/>
      <c r="IM17" s="9" t="s">
        <v>306</v>
      </c>
      <c r="IN17" s="9" t="s">
        <v>306</v>
      </c>
      <c r="IO17" s="9"/>
      <c r="IP17" s="9"/>
      <c r="IQ17" s="9"/>
      <c r="IR17" s="9"/>
      <c r="IS17" s="9"/>
      <c r="IT17" s="9" t="s">
        <v>306</v>
      </c>
      <c r="IU17" s="9" t="s">
        <v>385</v>
      </c>
      <c r="IV17" s="9" t="s">
        <v>236</v>
      </c>
      <c r="IW17" s="9"/>
      <c r="IX17" s="9"/>
      <c r="IY17" s="9" t="s">
        <v>306</v>
      </c>
      <c r="IZ17" s="9"/>
      <c r="JA17" s="9"/>
      <c r="JB17" s="9">
        <v>0</v>
      </c>
      <c r="JC17" s="9">
        <v>3</v>
      </c>
      <c r="JD17" s="9">
        <v>120</v>
      </c>
      <c r="JE17" s="9">
        <v>25</v>
      </c>
      <c r="JF17" s="9">
        <v>14</v>
      </c>
      <c r="JG17" s="9">
        <v>0</v>
      </c>
      <c r="JH17" s="9">
        <v>0</v>
      </c>
      <c r="JI17" s="9" t="s">
        <v>524</v>
      </c>
      <c r="JJ17" s="9" t="s">
        <v>306</v>
      </c>
      <c r="JK17" s="9" t="s">
        <v>306</v>
      </c>
      <c r="JL17" s="9" t="s">
        <v>306</v>
      </c>
      <c r="JM17" s="9" t="s">
        <v>306</v>
      </c>
      <c r="JN17" s="9" t="s">
        <v>306</v>
      </c>
      <c r="JO17" s="9" t="s">
        <v>306</v>
      </c>
      <c r="JP17" s="9" t="s">
        <v>306</v>
      </c>
      <c r="JQ17" s="9"/>
      <c r="JR17" s="9" t="s">
        <v>306</v>
      </c>
      <c r="JS17" s="9" t="s">
        <v>306</v>
      </c>
      <c r="JT17" s="9" t="s">
        <v>518</v>
      </c>
      <c r="JU17" s="9"/>
      <c r="JV17" s="9" t="s">
        <v>306</v>
      </c>
      <c r="JW17" s="9" t="s">
        <v>306</v>
      </c>
      <c r="JX17" s="9"/>
      <c r="JY17" s="9"/>
      <c r="JZ17" s="9"/>
      <c r="KA17" s="9"/>
      <c r="KB17" s="9" t="s">
        <v>267</v>
      </c>
      <c r="KC17" s="9"/>
      <c r="KD17" s="9" t="s">
        <v>306</v>
      </c>
      <c r="KE17" s="9"/>
      <c r="KF17" s="9"/>
      <c r="KG17" s="9" t="s">
        <v>337</v>
      </c>
      <c r="KH17" s="9" t="s">
        <v>338</v>
      </c>
      <c r="KI17" s="9" t="s">
        <v>339</v>
      </c>
      <c r="KJ17" s="9" t="s">
        <v>306</v>
      </c>
      <c r="KK17" s="9" t="s">
        <v>445</v>
      </c>
      <c r="KL17" s="9"/>
      <c r="KM17" s="9" t="s">
        <v>306</v>
      </c>
      <c r="KN17" s="9"/>
      <c r="KO17" s="9" t="s">
        <v>306</v>
      </c>
      <c r="KP17" s="9"/>
      <c r="KQ17" s="9"/>
      <c r="KR17" s="9"/>
      <c r="KS17" s="9"/>
      <c r="KT17" s="9"/>
      <c r="KU17" s="9">
        <v>12</v>
      </c>
      <c r="KV17" s="9">
        <v>2.56</v>
      </c>
      <c r="KW17" s="9">
        <v>2.5</v>
      </c>
      <c r="KX17" s="9">
        <v>2.7</v>
      </c>
      <c r="KY17" s="9" t="s">
        <v>476</v>
      </c>
      <c r="KZ17" s="9" t="s">
        <v>306</v>
      </c>
      <c r="LA17" s="9" t="s">
        <v>306</v>
      </c>
      <c r="LB17" s="9" t="s">
        <v>306</v>
      </c>
      <c r="LC17" s="9" t="s">
        <v>306</v>
      </c>
      <c r="LD17" s="9"/>
      <c r="LE17" s="9"/>
      <c r="LF17" s="9"/>
      <c r="LG17" s="9" t="s">
        <v>341</v>
      </c>
      <c r="LH17" s="9" t="s">
        <v>341</v>
      </c>
      <c r="LI17" s="9" t="s">
        <v>454</v>
      </c>
      <c r="LJ17" s="9" t="s">
        <v>307</v>
      </c>
      <c r="LK17" s="9" t="s">
        <v>423</v>
      </c>
    </row>
    <row r="18" spans="1:323" x14ac:dyDescent="0.3">
      <c r="A18" s="8"/>
      <c r="B18" s="9" t="s">
        <v>525</v>
      </c>
      <c r="C18" s="9" t="s">
        <v>302</v>
      </c>
      <c r="D18" s="9" t="s">
        <v>632</v>
      </c>
      <c r="E18" s="9" t="s">
        <v>343</v>
      </c>
      <c r="F18" s="9" t="s">
        <v>303</v>
      </c>
      <c r="G18" s="9" t="s">
        <v>304</v>
      </c>
      <c r="H18" s="9" t="s">
        <v>369</v>
      </c>
      <c r="I18" s="9" t="s">
        <v>304</v>
      </c>
      <c r="J18" s="9" t="s">
        <v>526</v>
      </c>
      <c r="K18" s="9"/>
      <c r="L18" s="9"/>
      <c r="M18" s="9"/>
      <c r="N18" s="9"/>
      <c r="O18" s="9"/>
      <c r="P18" s="9"/>
      <c r="Q18" s="9"/>
      <c r="R18" s="9"/>
      <c r="S18" s="9">
        <v>49</v>
      </c>
      <c r="T18" s="9">
        <v>4</v>
      </c>
      <c r="U18" s="9" t="s">
        <v>308</v>
      </c>
      <c r="V18" s="9" t="s">
        <v>527</v>
      </c>
      <c r="W18" s="9" t="s">
        <v>310</v>
      </c>
      <c r="X18" s="10">
        <v>100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100</v>
      </c>
      <c r="AF18" s="10">
        <v>0</v>
      </c>
      <c r="AG18" s="10">
        <v>0</v>
      </c>
      <c r="AH18" s="10">
        <v>0</v>
      </c>
      <c r="AI18" s="9" t="s">
        <v>307</v>
      </c>
      <c r="AJ18" s="9">
        <v>100</v>
      </c>
      <c r="AK18" s="9">
        <v>0</v>
      </c>
      <c r="AL18" s="9">
        <v>0</v>
      </c>
      <c r="AM18" s="9">
        <v>0</v>
      </c>
      <c r="AN18" s="9">
        <v>0</v>
      </c>
      <c r="AO18" s="9">
        <v>90</v>
      </c>
      <c r="AP18" s="9">
        <v>10</v>
      </c>
      <c r="AQ18" s="9">
        <v>0</v>
      </c>
      <c r="AR18" s="9" t="s">
        <v>50</v>
      </c>
      <c r="AS18" s="9"/>
      <c r="AT18" s="9"/>
      <c r="AU18" s="9"/>
      <c r="AV18" s="9"/>
      <c r="AW18" s="9"/>
      <c r="AX18" s="9"/>
      <c r="AY18" s="9"/>
      <c r="AZ18" s="9"/>
      <c r="BA18" s="9"/>
      <c r="BB18" s="9" t="s">
        <v>306</v>
      </c>
      <c r="BC18" s="9" t="s">
        <v>311</v>
      </c>
      <c r="BD18" s="9" t="s">
        <v>306</v>
      </c>
      <c r="BE18" s="9" t="s">
        <v>528</v>
      </c>
      <c r="BF18" s="9" t="s">
        <v>306</v>
      </c>
      <c r="BG18" s="9" t="s">
        <v>306</v>
      </c>
      <c r="BH18" s="9"/>
      <c r="BI18" s="9"/>
      <c r="BJ18" s="9"/>
      <c r="BK18" s="9"/>
      <c r="BL18" s="9"/>
      <c r="BM18" s="9"/>
      <c r="BN18" s="9"/>
      <c r="BO18" s="9" t="s">
        <v>74</v>
      </c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 t="s">
        <v>306</v>
      </c>
      <c r="CA18" s="9"/>
      <c r="CB18" s="9" t="s">
        <v>520</v>
      </c>
      <c r="CC18" s="9"/>
      <c r="CD18" s="9"/>
      <c r="CE18" s="9" t="s">
        <v>306</v>
      </c>
      <c r="CF18" s="9"/>
      <c r="CG18" s="9"/>
      <c r="CH18" s="9" t="s">
        <v>306</v>
      </c>
      <c r="CI18" s="9" t="s">
        <v>306</v>
      </c>
      <c r="CJ18" s="9"/>
      <c r="CK18" s="9"/>
      <c r="CL18" s="9" t="s">
        <v>314</v>
      </c>
      <c r="CM18" s="9" t="s">
        <v>315</v>
      </c>
      <c r="CN18" s="9" t="s">
        <v>307</v>
      </c>
      <c r="CO18" s="9" t="s">
        <v>92</v>
      </c>
      <c r="CP18" s="9"/>
      <c r="CQ18" s="9"/>
      <c r="CR18" s="9"/>
      <c r="CS18" s="9"/>
      <c r="CT18" s="9"/>
      <c r="CU18" s="9"/>
      <c r="CV18" s="9" t="s">
        <v>306</v>
      </c>
      <c r="CW18" s="9" t="s">
        <v>96</v>
      </c>
      <c r="CX18" s="9"/>
      <c r="CY18" s="9"/>
      <c r="CZ18" s="9" t="s">
        <v>306</v>
      </c>
      <c r="DA18" s="9"/>
      <c r="DB18" s="9"/>
      <c r="DC18" s="9"/>
      <c r="DD18" s="11">
        <v>450</v>
      </c>
      <c r="DE18" s="11">
        <v>450</v>
      </c>
      <c r="DF18" s="11">
        <v>450</v>
      </c>
      <c r="DG18" s="12">
        <v>23</v>
      </c>
      <c r="DH18" s="9">
        <v>23</v>
      </c>
      <c r="DI18" s="9">
        <v>23</v>
      </c>
      <c r="DJ18" s="9">
        <v>94</v>
      </c>
      <c r="DK18" s="9">
        <v>0</v>
      </c>
      <c r="DL18" s="9">
        <v>0</v>
      </c>
      <c r="DM18" s="9">
        <v>1</v>
      </c>
      <c r="DN18" s="9">
        <v>5</v>
      </c>
      <c r="DO18" s="9">
        <v>3</v>
      </c>
      <c r="DP18" s="9">
        <v>12</v>
      </c>
      <c r="DQ18" s="9" t="s">
        <v>306</v>
      </c>
      <c r="DR18" s="9" t="s">
        <v>306</v>
      </c>
      <c r="DS18" s="9" t="s">
        <v>307</v>
      </c>
      <c r="DT18" s="10">
        <v>1.1506849315068493</v>
      </c>
      <c r="DU18" s="10">
        <v>1.5</v>
      </c>
      <c r="DV18" s="10">
        <f t="shared" si="0"/>
        <v>2.6506849315068495</v>
      </c>
      <c r="DW18" s="9">
        <v>18</v>
      </c>
      <c r="DX18" s="9">
        <v>4</v>
      </c>
      <c r="DY18" s="9">
        <v>3</v>
      </c>
      <c r="DZ18" s="9">
        <v>0</v>
      </c>
      <c r="EA18" s="9">
        <v>9</v>
      </c>
      <c r="EB18" s="9">
        <v>9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75</v>
      </c>
      <c r="EI18" s="9">
        <v>0</v>
      </c>
      <c r="EJ18" s="9">
        <v>25</v>
      </c>
      <c r="EK18" s="9">
        <v>0</v>
      </c>
      <c r="EL18" s="9">
        <v>0</v>
      </c>
      <c r="EM18" s="9">
        <v>0</v>
      </c>
      <c r="EN18" s="9">
        <v>15</v>
      </c>
      <c r="EO18" s="9">
        <v>30</v>
      </c>
      <c r="EP18" s="9">
        <v>50</v>
      </c>
      <c r="EQ18" s="9">
        <v>5</v>
      </c>
      <c r="ER18" s="9">
        <v>0</v>
      </c>
      <c r="ES18" s="9">
        <v>0</v>
      </c>
      <c r="ET18" s="9">
        <v>0</v>
      </c>
      <c r="EU18" s="9">
        <v>0</v>
      </c>
      <c r="EV18" s="9" t="s">
        <v>317</v>
      </c>
      <c r="EW18" s="9" t="s">
        <v>306</v>
      </c>
      <c r="EX18" s="9" t="s">
        <v>306</v>
      </c>
      <c r="EY18" s="9" t="s">
        <v>318</v>
      </c>
      <c r="EZ18" s="9" t="s">
        <v>306</v>
      </c>
      <c r="FA18" s="9" t="s">
        <v>306</v>
      </c>
      <c r="FB18" s="9" t="s">
        <v>319</v>
      </c>
      <c r="FC18" s="9">
        <v>2</v>
      </c>
      <c r="FD18" s="9">
        <v>2</v>
      </c>
      <c r="FE18" s="9" t="s">
        <v>377</v>
      </c>
      <c r="FF18" s="9" t="s">
        <v>352</v>
      </c>
      <c r="FG18" s="9" t="s">
        <v>156</v>
      </c>
      <c r="FH18" s="9" t="s">
        <v>306</v>
      </c>
      <c r="FI18" s="9"/>
      <c r="FJ18" s="9"/>
      <c r="FK18" s="9"/>
      <c r="FL18" s="9"/>
      <c r="FM18" s="9"/>
      <c r="FN18" s="9"/>
      <c r="FO18" s="9"/>
      <c r="FP18" s="9"/>
      <c r="FQ18" s="9" t="s">
        <v>172</v>
      </c>
      <c r="FR18" s="9"/>
      <c r="FS18" s="9"/>
      <c r="FT18" s="9"/>
      <c r="FU18" s="9"/>
      <c r="FV18" s="9"/>
      <c r="FW18" s="9"/>
      <c r="FX18" s="9" t="s">
        <v>306</v>
      </c>
      <c r="FY18" s="9"/>
      <c r="FZ18" s="9" t="s">
        <v>323</v>
      </c>
      <c r="GA18" s="9" t="s">
        <v>529</v>
      </c>
      <c r="GB18" s="9" t="s">
        <v>306</v>
      </c>
      <c r="GC18" s="9"/>
      <c r="GD18" s="9"/>
      <c r="GE18" s="9" t="s">
        <v>306</v>
      </c>
      <c r="GF18" s="9"/>
      <c r="GG18" s="9"/>
      <c r="GH18" s="9"/>
      <c r="GI18" s="9" t="s">
        <v>440</v>
      </c>
      <c r="GJ18" s="9" t="s">
        <v>306</v>
      </c>
      <c r="GK18" s="9">
        <v>2.2000000000000002</v>
      </c>
      <c r="GL18" s="9" t="s">
        <v>416</v>
      </c>
      <c r="GM18" s="9" t="s">
        <v>306</v>
      </c>
      <c r="GN18" s="9"/>
      <c r="GO18" s="9"/>
      <c r="GP18" s="9"/>
      <c r="GQ18" s="9"/>
      <c r="GR18" s="9" t="s">
        <v>306</v>
      </c>
      <c r="GS18" s="9">
        <v>5</v>
      </c>
      <c r="GT18" s="9" t="s">
        <v>530</v>
      </c>
      <c r="GU18" s="9"/>
      <c r="GV18" s="9" t="s">
        <v>306</v>
      </c>
      <c r="GW18" s="9"/>
      <c r="GX18" s="9" t="s">
        <v>306</v>
      </c>
      <c r="GY18" s="9"/>
      <c r="GZ18" s="9"/>
      <c r="HA18" s="9"/>
      <c r="HB18" s="9"/>
      <c r="HC18" s="9"/>
      <c r="HD18" s="9"/>
      <c r="HE18" s="9"/>
      <c r="HF18" s="9" t="s">
        <v>195</v>
      </c>
      <c r="HG18" s="9" t="s">
        <v>306</v>
      </c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>
        <v>0</v>
      </c>
      <c r="HS18" s="9">
        <v>100</v>
      </c>
      <c r="HT18" s="9">
        <v>0</v>
      </c>
      <c r="HU18" s="9">
        <v>0</v>
      </c>
      <c r="HV18" s="9">
        <v>0</v>
      </c>
      <c r="HW18" s="9" t="s">
        <v>531</v>
      </c>
      <c r="HX18" s="9" t="s">
        <v>306</v>
      </c>
      <c r="HY18" s="9"/>
      <c r="HZ18" s="9"/>
      <c r="IA18" s="9"/>
      <c r="IB18" s="9"/>
      <c r="IC18" s="9"/>
      <c r="ID18" s="9"/>
      <c r="IE18" s="9" t="s">
        <v>306</v>
      </c>
      <c r="IF18" s="9"/>
      <c r="IG18" s="9"/>
      <c r="IH18" s="9" t="s">
        <v>330</v>
      </c>
      <c r="II18" s="9" t="s">
        <v>383</v>
      </c>
      <c r="IJ18" s="9" t="s">
        <v>532</v>
      </c>
      <c r="IK18" s="9"/>
      <c r="IL18" s="9"/>
      <c r="IM18" s="9" t="s">
        <v>306</v>
      </c>
      <c r="IN18" s="9"/>
      <c r="IO18" s="9"/>
      <c r="IP18" s="9"/>
      <c r="IQ18" s="9"/>
      <c r="IR18" s="9" t="s">
        <v>306</v>
      </c>
      <c r="IS18" s="9"/>
      <c r="IT18" s="9"/>
      <c r="IU18" s="9" t="s">
        <v>385</v>
      </c>
      <c r="IV18" s="9" t="s">
        <v>486</v>
      </c>
      <c r="IW18" s="9"/>
      <c r="IX18" s="9"/>
      <c r="IY18" s="9" t="s">
        <v>306</v>
      </c>
      <c r="IZ18" s="9" t="s">
        <v>306</v>
      </c>
      <c r="JA18" s="9" t="s">
        <v>306</v>
      </c>
      <c r="JB18" s="9">
        <v>0.2</v>
      </c>
      <c r="JC18" s="9">
        <v>2.8</v>
      </c>
      <c r="JD18" s="9">
        <v>100</v>
      </c>
      <c r="JE18" s="9">
        <v>24</v>
      </c>
      <c r="JF18" s="9">
        <v>14</v>
      </c>
      <c r="JG18" s="9">
        <v>0</v>
      </c>
      <c r="JH18" s="9">
        <v>0</v>
      </c>
      <c r="JI18" s="9" t="s">
        <v>433</v>
      </c>
      <c r="JJ18" s="9" t="s">
        <v>306</v>
      </c>
      <c r="JK18" s="9" t="s">
        <v>306</v>
      </c>
      <c r="JL18" s="9"/>
      <c r="JM18" s="9" t="s">
        <v>306</v>
      </c>
      <c r="JN18" s="9" t="s">
        <v>306</v>
      </c>
      <c r="JO18" s="9" t="s">
        <v>306</v>
      </c>
      <c r="JP18" s="9" t="s">
        <v>306</v>
      </c>
      <c r="JQ18" s="9" t="s">
        <v>306</v>
      </c>
      <c r="JR18" s="9" t="s">
        <v>306</v>
      </c>
      <c r="JS18" s="9" t="s">
        <v>306</v>
      </c>
      <c r="JT18" s="9" t="s">
        <v>533</v>
      </c>
      <c r="JU18" s="9" t="s">
        <v>306</v>
      </c>
      <c r="JV18" s="9" t="s">
        <v>306</v>
      </c>
      <c r="JW18" s="9" t="s">
        <v>306</v>
      </c>
      <c r="JX18" s="9"/>
      <c r="JY18" s="9"/>
      <c r="JZ18" s="9" t="s">
        <v>306</v>
      </c>
      <c r="KA18" s="9"/>
      <c r="KB18" s="9" t="s">
        <v>534</v>
      </c>
      <c r="KC18" s="9" t="s">
        <v>306</v>
      </c>
      <c r="KD18" s="9" t="s">
        <v>306</v>
      </c>
      <c r="KE18" s="9" t="s">
        <v>306</v>
      </c>
      <c r="KF18" s="9"/>
      <c r="KG18" s="9" t="s">
        <v>337</v>
      </c>
      <c r="KH18" s="9" t="s">
        <v>338</v>
      </c>
      <c r="KI18" s="9" t="s">
        <v>339</v>
      </c>
      <c r="KJ18" s="9" t="s">
        <v>306</v>
      </c>
      <c r="KK18" s="9" t="s">
        <v>535</v>
      </c>
      <c r="KL18" s="9"/>
      <c r="KM18" s="9"/>
      <c r="KN18" s="9"/>
      <c r="KO18" s="9" t="s">
        <v>306</v>
      </c>
      <c r="KP18" s="9" t="s">
        <v>306</v>
      </c>
      <c r="KQ18" s="9"/>
      <c r="KR18" s="9"/>
      <c r="KS18" s="9"/>
      <c r="KT18" s="9"/>
      <c r="KU18" s="9">
        <v>1</v>
      </c>
      <c r="KV18" s="9">
        <v>2.75</v>
      </c>
      <c r="KW18" s="9">
        <v>2.5</v>
      </c>
      <c r="KX18" s="9">
        <v>2.5</v>
      </c>
      <c r="KY18" s="9"/>
      <c r="KZ18" s="9" t="s">
        <v>306</v>
      </c>
      <c r="LA18" s="9" t="s">
        <v>306</v>
      </c>
      <c r="LB18" s="9" t="s">
        <v>306</v>
      </c>
      <c r="LC18" s="9" t="s">
        <v>306</v>
      </c>
      <c r="LD18" s="9"/>
      <c r="LE18" s="9"/>
      <c r="LF18" s="9"/>
      <c r="LG18" s="9" t="s">
        <v>341</v>
      </c>
      <c r="LH18" s="9" t="s">
        <v>341</v>
      </c>
      <c r="LI18" s="9" t="s">
        <v>454</v>
      </c>
      <c r="LJ18" s="9" t="s">
        <v>307</v>
      </c>
      <c r="LK18" s="9" t="s">
        <v>342</v>
      </c>
    </row>
    <row r="19" spans="1:323" x14ac:dyDescent="0.3">
      <c r="A19" s="8"/>
      <c r="B19" s="9" t="s">
        <v>366</v>
      </c>
      <c r="C19" s="9" t="s">
        <v>367</v>
      </c>
      <c r="D19" s="9" t="s">
        <v>633</v>
      </c>
      <c r="E19" s="9" t="s">
        <v>301</v>
      </c>
      <c r="F19" s="9" t="s">
        <v>368</v>
      </c>
      <c r="G19" s="9" t="s">
        <v>369</v>
      </c>
      <c r="H19" s="9" t="s">
        <v>369</v>
      </c>
      <c r="I19" s="9" t="s">
        <v>304</v>
      </c>
      <c r="J19" s="9" t="s">
        <v>536</v>
      </c>
      <c r="K19" s="9" t="s">
        <v>306</v>
      </c>
      <c r="L19" s="9" t="s">
        <v>306</v>
      </c>
      <c r="M19" s="9" t="s">
        <v>306</v>
      </c>
      <c r="N19" s="9" t="s">
        <v>306</v>
      </c>
      <c r="O19" s="9"/>
      <c r="P19" s="9" t="s">
        <v>306</v>
      </c>
      <c r="Q19" s="9"/>
      <c r="R19" s="9"/>
      <c r="S19" s="9">
        <v>25</v>
      </c>
      <c r="T19" s="9">
        <v>0.2</v>
      </c>
      <c r="U19" s="9" t="s">
        <v>537</v>
      </c>
      <c r="V19" s="9" t="s">
        <v>455</v>
      </c>
      <c r="W19" s="9" t="s">
        <v>346</v>
      </c>
      <c r="X19" s="10">
        <v>100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100</v>
      </c>
      <c r="AF19" s="10">
        <v>0</v>
      </c>
      <c r="AG19" s="10">
        <v>0</v>
      </c>
      <c r="AH19" s="10">
        <v>0</v>
      </c>
      <c r="AI19" s="9" t="s">
        <v>307</v>
      </c>
      <c r="AJ19" s="9">
        <v>100</v>
      </c>
      <c r="AK19" s="9">
        <v>0</v>
      </c>
      <c r="AL19" s="9">
        <v>0</v>
      </c>
      <c r="AM19" s="9">
        <v>0</v>
      </c>
      <c r="AN19" s="9">
        <v>0</v>
      </c>
      <c r="AO19" s="9">
        <v>100</v>
      </c>
      <c r="AP19" s="9">
        <v>0</v>
      </c>
      <c r="AQ19" s="9">
        <v>0</v>
      </c>
      <c r="AR19" s="9" t="s">
        <v>50</v>
      </c>
      <c r="AS19" s="9"/>
      <c r="AT19" s="9"/>
      <c r="AU19" s="9"/>
      <c r="AV19" s="9"/>
      <c r="AW19" s="9"/>
      <c r="AX19" s="9"/>
      <c r="AY19" s="9"/>
      <c r="AZ19" s="9"/>
      <c r="BA19" s="9"/>
      <c r="BB19" s="9" t="s">
        <v>306</v>
      </c>
      <c r="BC19" s="9" t="s">
        <v>400</v>
      </c>
      <c r="BD19" s="9" t="s">
        <v>306</v>
      </c>
      <c r="BE19" s="9" t="s">
        <v>538</v>
      </c>
      <c r="BF19" s="9" t="s">
        <v>306</v>
      </c>
      <c r="BG19" s="9"/>
      <c r="BH19" s="9"/>
      <c r="BI19" s="9"/>
      <c r="BJ19" s="9"/>
      <c r="BK19" s="9" t="s">
        <v>306</v>
      </c>
      <c r="BL19" s="9"/>
      <c r="BM19" s="9"/>
      <c r="BN19" s="9"/>
      <c r="BO19" s="9" t="s">
        <v>65</v>
      </c>
      <c r="BP19" s="9"/>
      <c r="BQ19" s="9" t="s">
        <v>306</v>
      </c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 t="s">
        <v>539</v>
      </c>
      <c r="CC19" s="9"/>
      <c r="CD19" s="9"/>
      <c r="CE19" s="9"/>
      <c r="CF19" s="9" t="s">
        <v>306</v>
      </c>
      <c r="CG19" s="9"/>
      <c r="CH19" s="9" t="s">
        <v>306</v>
      </c>
      <c r="CI19" s="9"/>
      <c r="CJ19" s="9" t="s">
        <v>306</v>
      </c>
      <c r="CK19" s="9"/>
      <c r="CL19" s="9" t="s">
        <v>314</v>
      </c>
      <c r="CM19" s="9" t="s">
        <v>62</v>
      </c>
      <c r="CN19" s="9" t="s">
        <v>307</v>
      </c>
      <c r="CO19" s="9" t="s">
        <v>92</v>
      </c>
      <c r="CP19" s="9"/>
      <c r="CQ19" s="9"/>
      <c r="CR19" s="9"/>
      <c r="CS19" s="9"/>
      <c r="CT19" s="9"/>
      <c r="CU19" s="9"/>
      <c r="CV19" s="9" t="s">
        <v>306</v>
      </c>
      <c r="CW19" s="9" t="s">
        <v>98</v>
      </c>
      <c r="CX19" s="9"/>
      <c r="CY19" s="9"/>
      <c r="CZ19" s="9"/>
      <c r="DA19" s="9"/>
      <c r="DB19" s="9" t="s">
        <v>306</v>
      </c>
      <c r="DC19" s="9"/>
      <c r="DD19" s="11">
        <v>130</v>
      </c>
      <c r="DE19" s="11">
        <v>130</v>
      </c>
      <c r="DF19" s="11">
        <v>130</v>
      </c>
      <c r="DG19" s="12">
        <v>11.5</v>
      </c>
      <c r="DH19" s="9">
        <v>11.5</v>
      </c>
      <c r="DI19" s="9">
        <v>11.5</v>
      </c>
      <c r="DJ19" s="9">
        <v>100</v>
      </c>
      <c r="DK19" s="9">
        <v>0</v>
      </c>
      <c r="DL19" s="9">
        <v>0</v>
      </c>
      <c r="DM19" s="9">
        <v>0</v>
      </c>
      <c r="DN19" s="9">
        <v>0</v>
      </c>
      <c r="DO19" s="9">
        <v>36</v>
      </c>
      <c r="DP19" s="9">
        <v>26</v>
      </c>
      <c r="DQ19" s="9" t="s">
        <v>306</v>
      </c>
      <c r="DR19" s="9" t="s">
        <v>307</v>
      </c>
      <c r="DS19" s="9" t="s">
        <v>307</v>
      </c>
      <c r="DT19" s="10">
        <v>1.4794520547945205</v>
      </c>
      <c r="DU19" s="10">
        <v>0</v>
      </c>
      <c r="DV19" s="10">
        <f t="shared" si="0"/>
        <v>1.4794520547945205</v>
      </c>
      <c r="DW19" s="9">
        <v>13</v>
      </c>
      <c r="DX19" s="9">
        <v>10</v>
      </c>
      <c r="DY19" s="9">
        <v>2</v>
      </c>
      <c r="DZ19" s="9">
        <v>1</v>
      </c>
      <c r="EA19" s="9">
        <v>2</v>
      </c>
      <c r="EB19" s="9">
        <v>1</v>
      </c>
      <c r="EC19" s="9">
        <v>0</v>
      </c>
      <c r="ED19" s="9">
        <v>0</v>
      </c>
      <c r="EE19" s="9">
        <v>1</v>
      </c>
      <c r="EF19" s="9">
        <v>0</v>
      </c>
      <c r="EG19" s="9">
        <v>0</v>
      </c>
      <c r="EH19" s="9">
        <v>0</v>
      </c>
      <c r="EI19" s="9">
        <v>0</v>
      </c>
      <c r="EJ19" s="9">
        <v>100</v>
      </c>
      <c r="EK19" s="9">
        <v>0</v>
      </c>
      <c r="EL19" s="9">
        <v>0</v>
      </c>
      <c r="EM19" s="9">
        <v>0</v>
      </c>
      <c r="EN19" s="9">
        <v>80</v>
      </c>
      <c r="EO19" s="9">
        <v>10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10</v>
      </c>
      <c r="EV19" s="9" t="s">
        <v>540</v>
      </c>
      <c r="EW19" s="9" t="s">
        <v>306</v>
      </c>
      <c r="EX19" s="9" t="s">
        <v>306</v>
      </c>
      <c r="EY19" s="9" t="s">
        <v>459</v>
      </c>
      <c r="EZ19" s="9" t="s">
        <v>306</v>
      </c>
      <c r="FA19" s="9" t="s">
        <v>306</v>
      </c>
      <c r="FB19" s="9" t="s">
        <v>319</v>
      </c>
      <c r="FC19" s="9">
        <v>2</v>
      </c>
      <c r="FD19" s="9">
        <v>2</v>
      </c>
      <c r="FE19" s="9" t="s">
        <v>377</v>
      </c>
      <c r="FF19" s="9" t="s">
        <v>352</v>
      </c>
      <c r="FG19" s="9" t="s">
        <v>156</v>
      </c>
      <c r="FH19" s="9" t="s">
        <v>306</v>
      </c>
      <c r="FI19" s="9"/>
      <c r="FJ19" s="9"/>
      <c r="FK19" s="9"/>
      <c r="FL19" s="9"/>
      <c r="FM19" s="9"/>
      <c r="FN19" s="9"/>
      <c r="FO19" s="9"/>
      <c r="FP19" s="9"/>
      <c r="FQ19" s="9" t="s">
        <v>166</v>
      </c>
      <c r="FR19" s="9" t="s">
        <v>306</v>
      </c>
      <c r="FS19" s="9"/>
      <c r="FT19" s="9"/>
      <c r="FU19" s="9"/>
      <c r="FV19" s="9"/>
      <c r="FW19" s="9"/>
      <c r="FX19" s="9"/>
      <c r="FY19" s="9"/>
      <c r="FZ19" s="9" t="s">
        <v>323</v>
      </c>
      <c r="GA19" s="9" t="s">
        <v>324</v>
      </c>
      <c r="GB19" s="9" t="s">
        <v>306</v>
      </c>
      <c r="GC19" s="9" t="s">
        <v>306</v>
      </c>
      <c r="GD19" s="9"/>
      <c r="GE19" s="9"/>
      <c r="GF19" s="9"/>
      <c r="GG19" s="9"/>
      <c r="GH19" s="9"/>
      <c r="GI19" s="9" t="s">
        <v>440</v>
      </c>
      <c r="GJ19" s="9" t="s">
        <v>306</v>
      </c>
      <c r="GK19" s="9">
        <v>1.8</v>
      </c>
      <c r="GL19" s="9" t="s">
        <v>541</v>
      </c>
      <c r="GM19" s="9" t="s">
        <v>306</v>
      </c>
      <c r="GN19" s="9"/>
      <c r="GO19" s="9" t="s">
        <v>306</v>
      </c>
      <c r="GP19" s="9"/>
      <c r="GQ19" s="9"/>
      <c r="GR19" s="9"/>
      <c r="GS19" s="9">
        <v>5</v>
      </c>
      <c r="GT19" s="9" t="s">
        <v>542</v>
      </c>
      <c r="GU19" s="9"/>
      <c r="GV19" s="9"/>
      <c r="GW19" s="9"/>
      <c r="GX19" s="9" t="s">
        <v>306</v>
      </c>
      <c r="GY19" s="9" t="s">
        <v>306</v>
      </c>
      <c r="GZ19" s="9"/>
      <c r="HA19" s="9" t="s">
        <v>306</v>
      </c>
      <c r="HB19" s="9"/>
      <c r="HC19" s="9"/>
      <c r="HD19" s="9"/>
      <c r="HE19" s="9"/>
      <c r="HF19" s="9" t="s">
        <v>543</v>
      </c>
      <c r="HG19" s="9"/>
      <c r="HH19" s="9" t="s">
        <v>306</v>
      </c>
      <c r="HI19" s="9"/>
      <c r="HJ19" s="9"/>
      <c r="HK19" s="9" t="s">
        <v>306</v>
      </c>
      <c r="HL19" s="9"/>
      <c r="HM19" s="9" t="s">
        <v>306</v>
      </c>
      <c r="HN19" s="9"/>
      <c r="HO19" s="9"/>
      <c r="HP19" s="9"/>
      <c r="HQ19" s="9"/>
      <c r="HR19" s="9">
        <v>0</v>
      </c>
      <c r="HS19" s="9">
        <v>0</v>
      </c>
      <c r="HT19" s="9">
        <v>100</v>
      </c>
      <c r="HU19" s="9">
        <v>0</v>
      </c>
      <c r="HV19" s="9">
        <v>0</v>
      </c>
      <c r="HW19" s="9" t="s">
        <v>544</v>
      </c>
      <c r="HX19" s="9" t="s">
        <v>306</v>
      </c>
      <c r="HY19" s="9"/>
      <c r="HZ19" s="9" t="s">
        <v>306</v>
      </c>
      <c r="IA19" s="9"/>
      <c r="IB19" s="9"/>
      <c r="IC19" s="9"/>
      <c r="ID19" s="9"/>
      <c r="IE19" s="9" t="s">
        <v>306</v>
      </c>
      <c r="IF19" s="9"/>
      <c r="IG19" s="9"/>
      <c r="IH19" s="9" t="s">
        <v>330</v>
      </c>
      <c r="II19" s="9" t="s">
        <v>545</v>
      </c>
      <c r="IJ19" s="9" t="s">
        <v>526</v>
      </c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 t="s">
        <v>385</v>
      </c>
      <c r="IV19" s="9" t="s">
        <v>386</v>
      </c>
      <c r="IW19" s="9" t="s">
        <v>306</v>
      </c>
      <c r="IX19" s="9" t="s">
        <v>306</v>
      </c>
      <c r="IY19" s="9" t="s">
        <v>306</v>
      </c>
      <c r="IZ19" s="9"/>
      <c r="JA19" s="9"/>
      <c r="JB19" s="9">
        <v>0.1</v>
      </c>
      <c r="JC19" s="9">
        <v>2.5</v>
      </c>
      <c r="JD19" s="9">
        <v>80</v>
      </c>
      <c r="JE19" s="9">
        <v>26</v>
      </c>
      <c r="JF19" s="9">
        <v>14</v>
      </c>
      <c r="JG19" s="9">
        <v>0</v>
      </c>
      <c r="JH19" s="9">
        <v>0</v>
      </c>
      <c r="JI19" s="9" t="s">
        <v>546</v>
      </c>
      <c r="JJ19" s="9"/>
      <c r="JK19" s="9" t="s">
        <v>306</v>
      </c>
      <c r="JL19" s="9"/>
      <c r="JM19" s="9" t="s">
        <v>306</v>
      </c>
      <c r="JN19" s="9"/>
      <c r="JO19" s="9"/>
      <c r="JP19" s="9" t="s">
        <v>306</v>
      </c>
      <c r="JQ19" s="9" t="s">
        <v>306</v>
      </c>
      <c r="JR19" s="9" t="s">
        <v>306</v>
      </c>
      <c r="JS19" s="9" t="s">
        <v>306</v>
      </c>
      <c r="JT19" s="9" t="s">
        <v>452</v>
      </c>
      <c r="JU19" s="9" t="s">
        <v>306</v>
      </c>
      <c r="JV19" s="9" t="s">
        <v>306</v>
      </c>
      <c r="JW19" s="9" t="s">
        <v>306</v>
      </c>
      <c r="JX19" s="9" t="s">
        <v>306</v>
      </c>
      <c r="JY19" s="9" t="s">
        <v>306</v>
      </c>
      <c r="JZ19" s="9"/>
      <c r="KA19" s="9"/>
      <c r="KB19" s="9" t="s">
        <v>267</v>
      </c>
      <c r="KC19" s="9"/>
      <c r="KD19" s="9" t="s">
        <v>306</v>
      </c>
      <c r="KE19" s="9"/>
      <c r="KF19" s="9"/>
      <c r="KG19" s="9" t="s">
        <v>337</v>
      </c>
      <c r="KH19" s="9" t="s">
        <v>364</v>
      </c>
      <c r="KI19" s="9" t="s">
        <v>339</v>
      </c>
      <c r="KJ19" s="9" t="s">
        <v>306</v>
      </c>
      <c r="KK19" s="9" t="s">
        <v>547</v>
      </c>
      <c r="KL19" s="9"/>
      <c r="KM19" s="9" t="s">
        <v>306</v>
      </c>
      <c r="KN19" s="9"/>
      <c r="KO19" s="9"/>
      <c r="KP19" s="9" t="s">
        <v>306</v>
      </c>
      <c r="KQ19" s="9"/>
      <c r="KR19" s="9"/>
      <c r="KS19" s="9"/>
      <c r="KT19" s="9"/>
      <c r="KU19" s="9">
        <v>0.2</v>
      </c>
      <c r="KV19" s="9">
        <v>2.64</v>
      </c>
      <c r="KW19" s="9">
        <v>2.5</v>
      </c>
      <c r="KX19" s="9">
        <v>2.5</v>
      </c>
      <c r="KY19" s="9" t="s">
        <v>365</v>
      </c>
      <c r="KZ19" s="9" t="s">
        <v>306</v>
      </c>
      <c r="LA19" s="9" t="s">
        <v>306</v>
      </c>
      <c r="LB19" s="9" t="s">
        <v>306</v>
      </c>
      <c r="LC19" s="9" t="s">
        <v>306</v>
      </c>
      <c r="LD19" s="9" t="s">
        <v>306</v>
      </c>
      <c r="LE19" s="9"/>
      <c r="LF19" s="9"/>
      <c r="LG19" s="9" t="s">
        <v>454</v>
      </c>
      <c r="LH19" s="9" t="s">
        <v>341</v>
      </c>
      <c r="LI19" s="9" t="s">
        <v>341</v>
      </c>
      <c r="LJ19" s="9" t="s">
        <v>306</v>
      </c>
      <c r="LK19" s="9" t="s">
        <v>342</v>
      </c>
    </row>
    <row r="20" spans="1:323" x14ac:dyDescent="0.3">
      <c r="A20" s="8"/>
      <c r="B20" s="9" t="s">
        <v>548</v>
      </c>
      <c r="C20" s="9" t="s">
        <v>367</v>
      </c>
      <c r="D20" s="9" t="s">
        <v>635</v>
      </c>
      <c r="E20" s="9" t="s">
        <v>301</v>
      </c>
      <c r="F20" s="9" t="s">
        <v>303</v>
      </c>
      <c r="G20" s="9" t="s">
        <v>304</v>
      </c>
      <c r="H20" s="9" t="s">
        <v>369</v>
      </c>
      <c r="I20" s="9" t="s">
        <v>370</v>
      </c>
      <c r="J20" s="9" t="s">
        <v>549</v>
      </c>
      <c r="K20" s="9" t="s">
        <v>306</v>
      </c>
      <c r="L20" s="9"/>
      <c r="M20" s="9"/>
      <c r="N20" s="9"/>
      <c r="O20" s="9"/>
      <c r="P20" s="9"/>
      <c r="Q20" s="9"/>
      <c r="R20" s="9" t="s">
        <v>306</v>
      </c>
      <c r="S20" s="9">
        <v>36</v>
      </c>
      <c r="T20" s="9">
        <v>10</v>
      </c>
      <c r="U20" s="9" t="s">
        <v>308</v>
      </c>
      <c r="V20" s="9" t="s">
        <v>372</v>
      </c>
      <c r="W20" s="9" t="s">
        <v>346</v>
      </c>
      <c r="X20" s="10">
        <v>5</v>
      </c>
      <c r="Y20" s="10">
        <v>95</v>
      </c>
      <c r="Z20" s="10">
        <v>0</v>
      </c>
      <c r="AA20" s="10">
        <v>0</v>
      </c>
      <c r="AB20" s="10">
        <v>0</v>
      </c>
      <c r="AC20" s="10">
        <v>0</v>
      </c>
      <c r="AD20" s="10">
        <v>100</v>
      </c>
      <c r="AE20" s="10">
        <v>0</v>
      </c>
      <c r="AF20" s="10">
        <v>0</v>
      </c>
      <c r="AG20" s="10">
        <v>0</v>
      </c>
      <c r="AH20" s="10">
        <v>0</v>
      </c>
      <c r="AI20" s="9" t="s">
        <v>307</v>
      </c>
      <c r="AJ20" s="9">
        <v>98</v>
      </c>
      <c r="AK20" s="9">
        <v>2</v>
      </c>
      <c r="AL20" s="9">
        <v>0</v>
      </c>
      <c r="AM20" s="9">
        <v>0</v>
      </c>
      <c r="AN20" s="9">
        <v>0</v>
      </c>
      <c r="AO20" s="9">
        <v>93</v>
      </c>
      <c r="AP20" s="9">
        <v>7</v>
      </c>
      <c r="AQ20" s="9">
        <v>0</v>
      </c>
      <c r="AR20" s="9" t="s">
        <v>550</v>
      </c>
      <c r="AS20" s="9"/>
      <c r="AT20" s="9"/>
      <c r="AU20" s="9" t="s">
        <v>306</v>
      </c>
      <c r="AV20" s="9" t="s">
        <v>306</v>
      </c>
      <c r="AW20" s="9"/>
      <c r="AX20" s="9"/>
      <c r="AY20" s="9"/>
      <c r="AZ20" s="9"/>
      <c r="BA20" s="9"/>
      <c r="BB20" s="9"/>
      <c r="BC20" s="9" t="s">
        <v>311</v>
      </c>
      <c r="BD20" s="9" t="s">
        <v>307</v>
      </c>
      <c r="BE20" s="9" t="s">
        <v>528</v>
      </c>
      <c r="BF20" s="9" t="s">
        <v>306</v>
      </c>
      <c r="BG20" s="9" t="s">
        <v>306</v>
      </c>
      <c r="BH20" s="9"/>
      <c r="BI20" s="9"/>
      <c r="BJ20" s="9"/>
      <c r="BK20" s="9"/>
      <c r="BL20" s="9"/>
      <c r="BM20" s="9"/>
      <c r="BN20" s="9"/>
      <c r="BO20" s="9" t="s">
        <v>551</v>
      </c>
      <c r="BP20" s="9" t="s">
        <v>306</v>
      </c>
      <c r="BQ20" s="9"/>
      <c r="BR20" s="9"/>
      <c r="BS20" s="9"/>
      <c r="BT20" s="9"/>
      <c r="BU20" s="9" t="s">
        <v>306</v>
      </c>
      <c r="BV20" s="9"/>
      <c r="BW20" s="9"/>
      <c r="BX20" s="9"/>
      <c r="BY20" s="9"/>
      <c r="BZ20" s="9"/>
      <c r="CA20" s="9"/>
      <c r="CB20" s="9" t="s">
        <v>552</v>
      </c>
      <c r="CC20" s="9"/>
      <c r="CD20" s="9"/>
      <c r="CE20" s="9" t="s">
        <v>306</v>
      </c>
      <c r="CF20" s="9"/>
      <c r="CG20" s="9"/>
      <c r="CH20" s="9" t="s">
        <v>306</v>
      </c>
      <c r="CI20" s="9"/>
      <c r="CJ20" s="9"/>
      <c r="CK20" s="9"/>
      <c r="CL20" s="9" t="s">
        <v>314</v>
      </c>
      <c r="CM20" s="9" t="s">
        <v>62</v>
      </c>
      <c r="CN20" s="9" t="s">
        <v>306</v>
      </c>
      <c r="CO20" s="9" t="s">
        <v>44</v>
      </c>
      <c r="CP20" s="9"/>
      <c r="CQ20" s="9"/>
      <c r="CR20" s="9" t="s">
        <v>306</v>
      </c>
      <c r="CS20" s="9"/>
      <c r="CT20" s="9"/>
      <c r="CU20" s="9"/>
      <c r="CV20" s="9"/>
      <c r="CW20" s="9" t="s">
        <v>99</v>
      </c>
      <c r="CX20" s="9"/>
      <c r="CY20" s="9"/>
      <c r="CZ20" s="9"/>
      <c r="DA20" s="9"/>
      <c r="DB20" s="9"/>
      <c r="DC20" s="9" t="s">
        <v>306</v>
      </c>
      <c r="DD20" s="11">
        <v>733.33333333333337</v>
      </c>
      <c r="DE20" s="11">
        <v>500</v>
      </c>
      <c r="DF20" s="11">
        <v>900</v>
      </c>
      <c r="DG20" s="12">
        <v>29.083333333333332</v>
      </c>
      <c r="DH20" s="9">
        <v>25</v>
      </c>
      <c r="DI20" s="9">
        <v>32</v>
      </c>
      <c r="DJ20" s="9">
        <v>92</v>
      </c>
      <c r="DK20" s="9">
        <v>0</v>
      </c>
      <c r="DL20" s="9">
        <v>0</v>
      </c>
      <c r="DM20" s="9">
        <v>0.3</v>
      </c>
      <c r="DN20" s="9">
        <v>7.7</v>
      </c>
      <c r="DO20" s="9">
        <v>1.5</v>
      </c>
      <c r="DP20" s="9">
        <v>1.5</v>
      </c>
      <c r="DQ20" s="9" t="s">
        <v>306</v>
      </c>
      <c r="DR20" s="9" t="s">
        <v>306</v>
      </c>
      <c r="DS20" s="9" t="s">
        <v>307</v>
      </c>
      <c r="DT20" s="10">
        <v>1.5001643835616441</v>
      </c>
      <c r="DU20" s="10">
        <v>1</v>
      </c>
      <c r="DV20" s="10">
        <f t="shared" si="0"/>
        <v>2.5001643835616441</v>
      </c>
      <c r="DW20" s="9">
        <v>40</v>
      </c>
      <c r="DX20" s="9">
        <v>7</v>
      </c>
      <c r="DY20" s="9">
        <v>8</v>
      </c>
      <c r="DZ20" s="9">
        <v>1</v>
      </c>
      <c r="EA20" s="9">
        <v>10</v>
      </c>
      <c r="EB20" s="9">
        <v>8</v>
      </c>
      <c r="EC20" s="9">
        <v>0</v>
      </c>
      <c r="ED20" s="9">
        <v>0</v>
      </c>
      <c r="EE20" s="9">
        <v>1</v>
      </c>
      <c r="EF20" s="9">
        <v>0</v>
      </c>
      <c r="EG20" s="9">
        <v>0</v>
      </c>
      <c r="EH20" s="9">
        <v>0</v>
      </c>
      <c r="EI20" s="9">
        <v>0</v>
      </c>
      <c r="EJ20" s="9">
        <v>100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100</v>
      </c>
      <c r="ES20" s="9">
        <v>0</v>
      </c>
      <c r="ET20" s="9">
        <v>0</v>
      </c>
      <c r="EU20" s="9">
        <v>0</v>
      </c>
      <c r="EV20" s="9" t="s">
        <v>317</v>
      </c>
      <c r="EW20" s="9" t="s">
        <v>306</v>
      </c>
      <c r="EX20" s="9" t="s">
        <v>306</v>
      </c>
      <c r="EY20" s="9" t="s">
        <v>318</v>
      </c>
      <c r="EZ20" s="9" t="s">
        <v>306</v>
      </c>
      <c r="FA20" s="9" t="s">
        <v>306</v>
      </c>
      <c r="FB20" s="9" t="s">
        <v>319</v>
      </c>
      <c r="FC20" s="9">
        <v>2</v>
      </c>
      <c r="FD20" s="9">
        <v>2</v>
      </c>
      <c r="FE20" s="9" t="s">
        <v>320</v>
      </c>
      <c r="FF20" s="9" t="s">
        <v>428</v>
      </c>
      <c r="FG20" s="9" t="s">
        <v>164</v>
      </c>
      <c r="FH20" s="9"/>
      <c r="FI20" s="9"/>
      <c r="FJ20" s="9"/>
      <c r="FK20" s="9"/>
      <c r="FL20" s="9"/>
      <c r="FM20" s="9"/>
      <c r="FN20" s="9"/>
      <c r="FO20" s="9"/>
      <c r="FP20" s="9" t="s">
        <v>306</v>
      </c>
      <c r="FQ20" s="9" t="s">
        <v>173</v>
      </c>
      <c r="FR20" s="9"/>
      <c r="FS20" s="9"/>
      <c r="FT20" s="9"/>
      <c r="FU20" s="9"/>
      <c r="FV20" s="9"/>
      <c r="FW20" s="9"/>
      <c r="FX20" s="9"/>
      <c r="FY20" s="9" t="s">
        <v>306</v>
      </c>
      <c r="FZ20" s="9" t="s">
        <v>378</v>
      </c>
      <c r="GA20" s="9" t="s">
        <v>553</v>
      </c>
      <c r="GB20" s="9" t="s">
        <v>306</v>
      </c>
      <c r="GC20" s="9" t="s">
        <v>306</v>
      </c>
      <c r="GD20" s="9"/>
      <c r="GE20" s="9" t="s">
        <v>306</v>
      </c>
      <c r="GF20" s="9"/>
      <c r="GG20" s="9" t="s">
        <v>306</v>
      </c>
      <c r="GH20" s="9"/>
      <c r="GI20" s="9" t="s">
        <v>440</v>
      </c>
      <c r="GJ20" s="9" t="s">
        <v>307</v>
      </c>
      <c r="GK20" s="9"/>
      <c r="GL20" s="9" t="s">
        <v>541</v>
      </c>
      <c r="GM20" s="9" t="s">
        <v>306</v>
      </c>
      <c r="GN20" s="9"/>
      <c r="GO20" s="9" t="s">
        <v>306</v>
      </c>
      <c r="GP20" s="9"/>
      <c r="GQ20" s="9"/>
      <c r="GR20" s="9"/>
      <c r="GS20" s="9">
        <v>36</v>
      </c>
      <c r="GT20" s="9" t="s">
        <v>554</v>
      </c>
      <c r="GU20" s="9"/>
      <c r="GV20" s="9"/>
      <c r="GW20" s="9"/>
      <c r="GX20" s="9" t="s">
        <v>306</v>
      </c>
      <c r="GY20" s="9" t="s">
        <v>306</v>
      </c>
      <c r="GZ20" s="9"/>
      <c r="HA20" s="9"/>
      <c r="HB20" s="9" t="s">
        <v>306</v>
      </c>
      <c r="HC20" s="9"/>
      <c r="HD20" s="9"/>
      <c r="HE20" s="9"/>
      <c r="HF20" s="9" t="s">
        <v>197</v>
      </c>
      <c r="HG20" s="9"/>
      <c r="HH20" s="9"/>
      <c r="HI20" s="9" t="s">
        <v>306</v>
      </c>
      <c r="HJ20" s="9"/>
      <c r="HK20" s="9"/>
      <c r="HL20" s="9"/>
      <c r="HM20" s="9"/>
      <c r="HN20" s="9"/>
      <c r="HO20" s="9"/>
      <c r="HP20" s="9"/>
      <c r="HQ20" s="9"/>
      <c r="HR20" s="9">
        <v>0</v>
      </c>
      <c r="HS20" s="9">
        <v>100</v>
      </c>
      <c r="HT20" s="9">
        <v>0</v>
      </c>
      <c r="HU20" s="9">
        <v>0</v>
      </c>
      <c r="HV20" s="9">
        <v>0</v>
      </c>
      <c r="HW20" s="9" t="s">
        <v>359</v>
      </c>
      <c r="HX20" s="9" t="s">
        <v>306</v>
      </c>
      <c r="HY20" s="9"/>
      <c r="HZ20" s="9"/>
      <c r="IA20" s="9"/>
      <c r="IB20" s="9" t="s">
        <v>306</v>
      </c>
      <c r="IC20" s="9"/>
      <c r="ID20" s="9"/>
      <c r="IE20" s="9" t="s">
        <v>306</v>
      </c>
      <c r="IF20" s="9"/>
      <c r="IG20" s="9"/>
      <c r="IH20" s="9" t="s">
        <v>330</v>
      </c>
      <c r="II20" s="9" t="s">
        <v>331</v>
      </c>
      <c r="IJ20" s="9" t="s">
        <v>555</v>
      </c>
      <c r="IK20" s="9"/>
      <c r="IL20" s="9"/>
      <c r="IM20" s="9" t="s">
        <v>306</v>
      </c>
      <c r="IN20" s="9" t="s">
        <v>306</v>
      </c>
      <c r="IO20" s="9" t="s">
        <v>306</v>
      </c>
      <c r="IP20" s="9" t="s">
        <v>306</v>
      </c>
      <c r="IQ20" s="9"/>
      <c r="IR20" s="9" t="s">
        <v>306</v>
      </c>
      <c r="IS20" s="9"/>
      <c r="IT20" s="9"/>
      <c r="IU20" s="9" t="s">
        <v>333</v>
      </c>
      <c r="IV20" s="9" t="s">
        <v>236</v>
      </c>
      <c r="IW20" s="9"/>
      <c r="IX20" s="9"/>
      <c r="IY20" s="9" t="s">
        <v>306</v>
      </c>
      <c r="IZ20" s="9"/>
      <c r="JA20" s="9"/>
      <c r="JB20" s="9">
        <v>0</v>
      </c>
      <c r="JC20" s="9">
        <v>3</v>
      </c>
      <c r="JD20" s="9">
        <v>100</v>
      </c>
      <c r="JE20" s="9">
        <v>26</v>
      </c>
      <c r="JF20" s="9">
        <v>14</v>
      </c>
      <c r="JG20" s="9">
        <v>0</v>
      </c>
      <c r="JH20" s="9">
        <v>0</v>
      </c>
      <c r="JI20" s="9" t="s">
        <v>556</v>
      </c>
      <c r="JJ20" s="9" t="s">
        <v>306</v>
      </c>
      <c r="JK20" s="9" t="s">
        <v>306</v>
      </c>
      <c r="JL20" s="9"/>
      <c r="JM20" s="9" t="s">
        <v>306</v>
      </c>
      <c r="JN20" s="9"/>
      <c r="JO20" s="9" t="s">
        <v>306</v>
      </c>
      <c r="JP20" s="9" t="s">
        <v>306</v>
      </c>
      <c r="JQ20" s="9" t="s">
        <v>306</v>
      </c>
      <c r="JR20" s="9" t="s">
        <v>306</v>
      </c>
      <c r="JS20" s="9" t="s">
        <v>306</v>
      </c>
      <c r="JT20" s="9" t="s">
        <v>362</v>
      </c>
      <c r="JU20" s="9" t="s">
        <v>306</v>
      </c>
      <c r="JV20" s="9" t="s">
        <v>306</v>
      </c>
      <c r="JW20" s="9" t="s">
        <v>306</v>
      </c>
      <c r="JX20" s="9"/>
      <c r="JY20" s="9"/>
      <c r="JZ20" s="9" t="s">
        <v>306</v>
      </c>
      <c r="KA20" s="9" t="s">
        <v>306</v>
      </c>
      <c r="KB20" s="9" t="s">
        <v>267</v>
      </c>
      <c r="KC20" s="9"/>
      <c r="KD20" s="9" t="s">
        <v>306</v>
      </c>
      <c r="KE20" s="9"/>
      <c r="KF20" s="9"/>
      <c r="KG20" s="9" t="s">
        <v>337</v>
      </c>
      <c r="KH20" s="9" t="s">
        <v>364</v>
      </c>
      <c r="KI20" s="9" t="s">
        <v>339</v>
      </c>
      <c r="KJ20" s="9" t="s">
        <v>306</v>
      </c>
      <c r="KK20" s="9" t="s">
        <v>278</v>
      </c>
      <c r="KL20" s="9"/>
      <c r="KM20" s="9"/>
      <c r="KN20" s="9"/>
      <c r="KO20" s="9" t="s">
        <v>306</v>
      </c>
      <c r="KP20" s="9"/>
      <c r="KQ20" s="9"/>
      <c r="KR20" s="9"/>
      <c r="KS20" s="9"/>
      <c r="KT20" s="9"/>
      <c r="KU20" s="9">
        <v>2</v>
      </c>
      <c r="KV20" s="9">
        <v>2.86</v>
      </c>
      <c r="KW20" s="9">
        <v>2.2000000000000002</v>
      </c>
      <c r="KX20" s="9">
        <v>2.9</v>
      </c>
      <c r="KY20" s="9" t="s">
        <v>476</v>
      </c>
      <c r="KZ20" s="9" t="s">
        <v>306</v>
      </c>
      <c r="LA20" s="9" t="s">
        <v>306</v>
      </c>
      <c r="LB20" s="9" t="s">
        <v>306</v>
      </c>
      <c r="LC20" s="9" t="s">
        <v>306</v>
      </c>
      <c r="LD20" s="9"/>
      <c r="LE20" s="9"/>
      <c r="LF20" s="9"/>
      <c r="LG20" s="9" t="s">
        <v>341</v>
      </c>
      <c r="LH20" s="9" t="s">
        <v>341</v>
      </c>
      <c r="LI20" s="9" t="s">
        <v>341</v>
      </c>
      <c r="LJ20" s="9" t="s">
        <v>307</v>
      </c>
      <c r="LK20" s="9" t="s">
        <v>342</v>
      </c>
    </row>
    <row r="21" spans="1:323" x14ac:dyDescent="0.3">
      <c r="A21" s="8"/>
      <c r="B21" s="9" t="s">
        <v>557</v>
      </c>
      <c r="C21" s="9" t="s">
        <v>302</v>
      </c>
      <c r="D21" s="9" t="s">
        <v>631</v>
      </c>
      <c r="E21" s="9" t="s">
        <v>301</v>
      </c>
      <c r="F21" s="9" t="s">
        <v>303</v>
      </c>
      <c r="G21" s="9" t="s">
        <v>304</v>
      </c>
      <c r="H21" s="9" t="s">
        <v>304</v>
      </c>
      <c r="I21" s="9" t="s">
        <v>370</v>
      </c>
      <c r="J21" s="9" t="s">
        <v>344</v>
      </c>
      <c r="K21" s="9" t="s">
        <v>306</v>
      </c>
      <c r="L21" s="9" t="s">
        <v>306</v>
      </c>
      <c r="M21" s="9" t="s">
        <v>306</v>
      </c>
      <c r="N21" s="9" t="s">
        <v>306</v>
      </c>
      <c r="O21" s="9" t="s">
        <v>306</v>
      </c>
      <c r="P21" s="9" t="s">
        <v>306</v>
      </c>
      <c r="Q21" s="9" t="s">
        <v>306</v>
      </c>
      <c r="R21" s="9" t="s">
        <v>306</v>
      </c>
      <c r="S21" s="9">
        <v>32</v>
      </c>
      <c r="T21" s="9">
        <v>10</v>
      </c>
      <c r="U21" s="9" t="s">
        <v>537</v>
      </c>
      <c r="V21" s="9" t="s">
        <v>309</v>
      </c>
      <c r="W21" s="9" t="s">
        <v>310</v>
      </c>
      <c r="X21" s="10">
        <v>69</v>
      </c>
      <c r="Y21" s="10">
        <v>31</v>
      </c>
      <c r="Z21" s="10">
        <v>0</v>
      </c>
      <c r="AA21" s="10">
        <v>0</v>
      </c>
      <c r="AB21" s="10">
        <v>0</v>
      </c>
      <c r="AC21" s="10">
        <v>0</v>
      </c>
      <c r="AD21" s="10">
        <v>100</v>
      </c>
      <c r="AE21" s="10">
        <v>0</v>
      </c>
      <c r="AF21" s="10">
        <v>0</v>
      </c>
      <c r="AG21" s="10">
        <v>0</v>
      </c>
      <c r="AH21" s="10">
        <v>0</v>
      </c>
      <c r="AI21" s="9" t="s">
        <v>306</v>
      </c>
      <c r="AJ21" s="9">
        <v>70</v>
      </c>
      <c r="AK21" s="9">
        <v>25</v>
      </c>
      <c r="AL21" s="9">
        <v>5</v>
      </c>
      <c r="AM21" s="9">
        <v>0</v>
      </c>
      <c r="AN21" s="9">
        <v>0</v>
      </c>
      <c r="AO21" s="9">
        <v>83.65</v>
      </c>
      <c r="AP21" s="9">
        <v>16.350000000000001</v>
      </c>
      <c r="AQ21" s="9">
        <v>0</v>
      </c>
      <c r="AR21" s="9" t="s">
        <v>44</v>
      </c>
      <c r="AS21" s="9"/>
      <c r="AT21" s="9"/>
      <c r="AU21" s="9"/>
      <c r="AV21" s="9" t="s">
        <v>306</v>
      </c>
      <c r="AW21" s="9"/>
      <c r="AX21" s="9"/>
      <c r="AY21" s="9"/>
      <c r="AZ21" s="9"/>
      <c r="BA21" s="9"/>
      <c r="BB21" s="9"/>
      <c r="BC21" s="9" t="s">
        <v>400</v>
      </c>
      <c r="BD21" s="9" t="s">
        <v>306</v>
      </c>
      <c r="BE21" s="9" t="s">
        <v>502</v>
      </c>
      <c r="BF21" s="9" t="s">
        <v>306</v>
      </c>
      <c r="BG21" s="9" t="s">
        <v>306</v>
      </c>
      <c r="BH21" s="9"/>
      <c r="BI21" s="9" t="s">
        <v>306</v>
      </c>
      <c r="BJ21" s="9"/>
      <c r="BK21" s="9"/>
      <c r="BL21" s="9"/>
      <c r="BM21" s="9"/>
      <c r="BN21" s="9"/>
      <c r="BO21" s="9" t="s">
        <v>490</v>
      </c>
      <c r="BP21" s="9" t="s">
        <v>306</v>
      </c>
      <c r="BQ21" s="9"/>
      <c r="BR21" s="9" t="s">
        <v>306</v>
      </c>
      <c r="BS21" s="9"/>
      <c r="BT21" s="9"/>
      <c r="BU21" s="9"/>
      <c r="BV21" s="9"/>
      <c r="BW21" s="9" t="s">
        <v>306</v>
      </c>
      <c r="BX21" s="9"/>
      <c r="BY21" s="9"/>
      <c r="BZ21" s="9"/>
      <c r="CA21" s="9"/>
      <c r="CB21" s="9" t="s">
        <v>558</v>
      </c>
      <c r="CC21" s="9" t="s">
        <v>306</v>
      </c>
      <c r="CD21" s="9"/>
      <c r="CE21" s="9" t="s">
        <v>306</v>
      </c>
      <c r="CF21" s="9"/>
      <c r="CG21" s="9"/>
      <c r="CH21" s="9"/>
      <c r="CI21" s="9" t="s">
        <v>306</v>
      </c>
      <c r="CJ21" s="9"/>
      <c r="CK21" s="9"/>
      <c r="CL21" s="9" t="s">
        <v>314</v>
      </c>
      <c r="CM21" s="9" t="s">
        <v>62</v>
      </c>
      <c r="CN21" s="9" t="s">
        <v>306</v>
      </c>
      <c r="CO21" s="9" t="s">
        <v>44</v>
      </c>
      <c r="CP21" s="9"/>
      <c r="CQ21" s="9"/>
      <c r="CR21" s="9" t="s">
        <v>306</v>
      </c>
      <c r="CS21" s="9"/>
      <c r="CT21" s="9"/>
      <c r="CU21" s="9"/>
      <c r="CV21" s="9"/>
      <c r="CW21" s="9" t="s">
        <v>99</v>
      </c>
      <c r="CX21" s="9"/>
      <c r="CY21" s="9"/>
      <c r="CZ21" s="9"/>
      <c r="DA21" s="9"/>
      <c r="DB21" s="9"/>
      <c r="DC21" s="9" t="s">
        <v>306</v>
      </c>
      <c r="DD21" s="11">
        <v>1745.8333333333333</v>
      </c>
      <c r="DE21" s="11">
        <v>1600</v>
      </c>
      <c r="DF21" s="11">
        <v>1850</v>
      </c>
      <c r="DG21" s="12">
        <v>20.583333333333332</v>
      </c>
      <c r="DH21" s="9">
        <v>20</v>
      </c>
      <c r="DI21" s="9">
        <v>21</v>
      </c>
      <c r="DJ21" s="9">
        <v>95.9</v>
      </c>
      <c r="DK21" s="9">
        <v>0</v>
      </c>
      <c r="DL21" s="9">
        <v>0</v>
      </c>
      <c r="DM21" s="9">
        <v>0.1</v>
      </c>
      <c r="DN21" s="9">
        <v>4</v>
      </c>
      <c r="DO21" s="9">
        <v>300</v>
      </c>
      <c r="DP21" s="9">
        <v>43</v>
      </c>
      <c r="DQ21" s="9" t="s">
        <v>306</v>
      </c>
      <c r="DR21" s="9" t="s">
        <v>307</v>
      </c>
      <c r="DS21" s="9" t="s">
        <v>307</v>
      </c>
      <c r="DT21" s="10">
        <v>2.9589041095890409</v>
      </c>
      <c r="DU21" s="10">
        <v>8</v>
      </c>
      <c r="DV21" s="10">
        <f t="shared" si="0"/>
        <v>10.95890410958904</v>
      </c>
      <c r="DW21" s="9">
        <v>63</v>
      </c>
      <c r="DX21" s="9">
        <v>19</v>
      </c>
      <c r="DY21" s="9">
        <v>15</v>
      </c>
      <c r="DZ21" s="9">
        <v>5</v>
      </c>
      <c r="EA21" s="9">
        <v>48</v>
      </c>
      <c r="EB21" s="9">
        <v>21</v>
      </c>
      <c r="EC21" s="9">
        <v>0</v>
      </c>
      <c r="ED21" s="9">
        <v>1</v>
      </c>
      <c r="EE21" s="9">
        <v>0</v>
      </c>
      <c r="EF21" s="9">
        <v>1</v>
      </c>
      <c r="EG21" s="9">
        <v>9</v>
      </c>
      <c r="EH21" s="9">
        <v>0</v>
      </c>
      <c r="EI21" s="9">
        <v>0</v>
      </c>
      <c r="EJ21" s="9">
        <v>90</v>
      </c>
      <c r="EK21" s="9">
        <v>0</v>
      </c>
      <c r="EL21" s="9">
        <v>0</v>
      </c>
      <c r="EM21" s="9">
        <v>0</v>
      </c>
      <c r="EN21" s="9">
        <v>0</v>
      </c>
      <c r="EO21" s="9">
        <v>30</v>
      </c>
      <c r="EP21" s="9">
        <v>70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 t="s">
        <v>317</v>
      </c>
      <c r="EW21" s="9" t="s">
        <v>306</v>
      </c>
      <c r="EX21" s="9" t="s">
        <v>306</v>
      </c>
      <c r="EY21" s="9" t="s">
        <v>318</v>
      </c>
      <c r="EZ21" s="9" t="s">
        <v>306</v>
      </c>
      <c r="FA21" s="9" t="s">
        <v>306</v>
      </c>
      <c r="FB21" s="9" t="s">
        <v>319</v>
      </c>
      <c r="FC21" s="9">
        <v>2</v>
      </c>
      <c r="FD21" s="9">
        <v>2</v>
      </c>
      <c r="FE21" s="9" t="s">
        <v>377</v>
      </c>
      <c r="FF21" s="9" t="s">
        <v>352</v>
      </c>
      <c r="FG21" s="9" t="s">
        <v>559</v>
      </c>
      <c r="FH21" s="9" t="s">
        <v>306</v>
      </c>
      <c r="FI21" s="9"/>
      <c r="FJ21" s="9"/>
      <c r="FK21" s="9"/>
      <c r="FL21" s="9"/>
      <c r="FM21" s="9"/>
      <c r="FN21" s="9" t="s">
        <v>306</v>
      </c>
      <c r="FO21" s="9"/>
      <c r="FP21" s="9"/>
      <c r="FQ21" s="9" t="s">
        <v>560</v>
      </c>
      <c r="FR21" s="9" t="s">
        <v>306</v>
      </c>
      <c r="FS21" s="9"/>
      <c r="FT21" s="9"/>
      <c r="FU21" s="9" t="s">
        <v>306</v>
      </c>
      <c r="FV21" s="9"/>
      <c r="FW21" s="9"/>
      <c r="FX21" s="9"/>
      <c r="FY21" s="9"/>
      <c r="FZ21" s="9" t="s">
        <v>323</v>
      </c>
      <c r="GA21" s="9" t="s">
        <v>561</v>
      </c>
      <c r="GB21" s="9" t="s">
        <v>306</v>
      </c>
      <c r="GC21" s="9" t="s">
        <v>306</v>
      </c>
      <c r="GD21" s="9" t="s">
        <v>306</v>
      </c>
      <c r="GE21" s="9" t="s">
        <v>306</v>
      </c>
      <c r="GF21" s="9" t="s">
        <v>306</v>
      </c>
      <c r="GG21" s="9" t="s">
        <v>306</v>
      </c>
      <c r="GH21" s="9"/>
      <c r="GI21" s="9" t="s">
        <v>325</v>
      </c>
      <c r="GJ21" s="9" t="s">
        <v>306</v>
      </c>
      <c r="GK21" s="9">
        <v>2.2999999999999998</v>
      </c>
      <c r="GL21" s="9" t="s">
        <v>326</v>
      </c>
      <c r="GM21" s="9" t="s">
        <v>306</v>
      </c>
      <c r="GN21" s="9"/>
      <c r="GO21" s="9" t="s">
        <v>306</v>
      </c>
      <c r="GP21" s="9"/>
      <c r="GQ21" s="9"/>
      <c r="GR21" s="9" t="s">
        <v>306</v>
      </c>
      <c r="GS21" s="9">
        <v>80</v>
      </c>
      <c r="GT21" s="9" t="s">
        <v>562</v>
      </c>
      <c r="GU21" s="9"/>
      <c r="GV21" s="9"/>
      <c r="GW21" s="9"/>
      <c r="GX21" s="9" t="s">
        <v>306</v>
      </c>
      <c r="GY21" s="9"/>
      <c r="GZ21" s="9" t="s">
        <v>306</v>
      </c>
      <c r="HA21" s="9"/>
      <c r="HB21" s="9"/>
      <c r="HC21" s="9"/>
      <c r="HD21" s="9" t="s">
        <v>306</v>
      </c>
      <c r="HE21" s="9"/>
      <c r="HF21" s="9" t="s">
        <v>197</v>
      </c>
      <c r="HG21" s="9"/>
      <c r="HH21" s="9"/>
      <c r="HI21" s="9" t="s">
        <v>306</v>
      </c>
      <c r="HJ21" s="9"/>
      <c r="HK21" s="9"/>
      <c r="HL21" s="9"/>
      <c r="HM21" s="9"/>
      <c r="HN21" s="9"/>
      <c r="HO21" s="9"/>
      <c r="HP21" s="9"/>
      <c r="HQ21" s="9"/>
      <c r="HR21" s="9">
        <v>0</v>
      </c>
      <c r="HS21" s="9">
        <v>75</v>
      </c>
      <c r="HT21" s="9">
        <v>25</v>
      </c>
      <c r="HU21" s="9">
        <v>0</v>
      </c>
      <c r="HV21" s="9">
        <v>0</v>
      </c>
      <c r="HW21" s="9" t="s">
        <v>563</v>
      </c>
      <c r="HX21" s="9" t="s">
        <v>306</v>
      </c>
      <c r="HY21" s="9"/>
      <c r="HZ21" s="9" t="s">
        <v>306</v>
      </c>
      <c r="IA21" s="9"/>
      <c r="IB21" s="9" t="s">
        <v>306</v>
      </c>
      <c r="IC21" s="9"/>
      <c r="ID21" s="9" t="s">
        <v>306</v>
      </c>
      <c r="IE21" s="9" t="s">
        <v>306</v>
      </c>
      <c r="IF21" s="9" t="s">
        <v>306</v>
      </c>
      <c r="IG21" s="9"/>
      <c r="IH21" s="9" t="s">
        <v>330</v>
      </c>
      <c r="II21" s="9" t="s">
        <v>331</v>
      </c>
      <c r="IJ21" s="9" t="s">
        <v>564</v>
      </c>
      <c r="IK21" s="9"/>
      <c r="IL21" s="9" t="s">
        <v>306</v>
      </c>
      <c r="IM21" s="9" t="s">
        <v>306</v>
      </c>
      <c r="IN21" s="9" t="s">
        <v>306</v>
      </c>
      <c r="IO21" s="9" t="s">
        <v>306</v>
      </c>
      <c r="IP21" s="9" t="s">
        <v>306</v>
      </c>
      <c r="IQ21" s="9" t="s">
        <v>306</v>
      </c>
      <c r="IR21" s="9" t="s">
        <v>306</v>
      </c>
      <c r="IS21" s="9" t="s">
        <v>306</v>
      </c>
      <c r="IT21" s="9" t="s">
        <v>306</v>
      </c>
      <c r="IU21" s="9" t="s">
        <v>385</v>
      </c>
      <c r="IV21" s="9" t="s">
        <v>237</v>
      </c>
      <c r="IW21" s="9"/>
      <c r="IX21" s="9"/>
      <c r="IY21" s="9"/>
      <c r="IZ21" s="9" t="s">
        <v>306</v>
      </c>
      <c r="JA21" s="9"/>
      <c r="JB21" s="9">
        <v>24</v>
      </c>
      <c r="JC21" s="9">
        <v>3</v>
      </c>
      <c r="JD21" s="9">
        <v>110</v>
      </c>
      <c r="JE21" s="9">
        <v>28</v>
      </c>
      <c r="JF21" s="9">
        <v>14</v>
      </c>
      <c r="JG21" s="9">
        <v>0</v>
      </c>
      <c r="JH21" s="9">
        <v>3</v>
      </c>
      <c r="JI21" s="9" t="s">
        <v>335</v>
      </c>
      <c r="JJ21" s="9" t="s">
        <v>306</v>
      </c>
      <c r="JK21" s="9" t="s">
        <v>306</v>
      </c>
      <c r="JL21" s="9" t="s">
        <v>306</v>
      </c>
      <c r="JM21" s="9" t="s">
        <v>306</v>
      </c>
      <c r="JN21" s="9" t="s">
        <v>306</v>
      </c>
      <c r="JO21" s="9" t="s">
        <v>306</v>
      </c>
      <c r="JP21" s="9" t="s">
        <v>306</v>
      </c>
      <c r="JQ21" s="9" t="s">
        <v>306</v>
      </c>
      <c r="JR21" s="9" t="s">
        <v>306</v>
      </c>
      <c r="JS21" s="9" t="s">
        <v>306</v>
      </c>
      <c r="JT21" s="9" t="s">
        <v>336</v>
      </c>
      <c r="JU21" s="9" t="s">
        <v>306</v>
      </c>
      <c r="JV21" s="9" t="s">
        <v>306</v>
      </c>
      <c r="JW21" s="9" t="s">
        <v>306</v>
      </c>
      <c r="JX21" s="9" t="s">
        <v>306</v>
      </c>
      <c r="JY21" s="9"/>
      <c r="JZ21" s="9" t="s">
        <v>306</v>
      </c>
      <c r="KA21" s="9" t="s">
        <v>306</v>
      </c>
      <c r="KB21" s="9" t="s">
        <v>534</v>
      </c>
      <c r="KC21" s="9" t="s">
        <v>306</v>
      </c>
      <c r="KD21" s="9" t="s">
        <v>306</v>
      </c>
      <c r="KE21" s="9" t="s">
        <v>306</v>
      </c>
      <c r="KF21" s="9"/>
      <c r="KG21" s="9" t="s">
        <v>337</v>
      </c>
      <c r="KH21" s="9" t="s">
        <v>364</v>
      </c>
      <c r="KI21" s="9" t="s">
        <v>339</v>
      </c>
      <c r="KJ21" s="9" t="s">
        <v>306</v>
      </c>
      <c r="KK21" s="9" t="s">
        <v>466</v>
      </c>
      <c r="KL21" s="9" t="s">
        <v>306</v>
      </c>
      <c r="KM21" s="9"/>
      <c r="KN21" s="9"/>
      <c r="KO21" s="9" t="s">
        <v>306</v>
      </c>
      <c r="KP21" s="9"/>
      <c r="KQ21" s="9"/>
      <c r="KR21" s="9"/>
      <c r="KS21" s="9"/>
      <c r="KT21" s="9"/>
      <c r="KU21" s="9">
        <v>28</v>
      </c>
      <c r="KV21" s="9">
        <v>2.82</v>
      </c>
      <c r="KW21" s="9">
        <v>2.35</v>
      </c>
      <c r="KX21" s="9">
        <v>2.9</v>
      </c>
      <c r="KY21" s="9" t="s">
        <v>565</v>
      </c>
      <c r="KZ21" s="9" t="s">
        <v>306</v>
      </c>
      <c r="LA21" s="9" t="s">
        <v>306</v>
      </c>
      <c r="LB21" s="9" t="s">
        <v>306</v>
      </c>
      <c r="LC21" s="9" t="s">
        <v>306</v>
      </c>
      <c r="LD21" s="9" t="s">
        <v>306</v>
      </c>
      <c r="LE21" s="9" t="s">
        <v>306</v>
      </c>
      <c r="LF21" s="9"/>
      <c r="LG21" s="9" t="s">
        <v>341</v>
      </c>
      <c r="LH21" s="9" t="s">
        <v>341</v>
      </c>
      <c r="LI21" s="9" t="s">
        <v>341</v>
      </c>
      <c r="LJ21" s="9" t="s">
        <v>307</v>
      </c>
      <c r="LK21" s="9" t="s">
        <v>477</v>
      </c>
    </row>
    <row r="22" spans="1:323" x14ac:dyDescent="0.3">
      <c r="A22" s="8"/>
      <c r="B22" s="9" t="s">
        <v>557</v>
      </c>
      <c r="C22" s="9" t="s">
        <v>302</v>
      </c>
      <c r="D22" s="9" t="s">
        <v>632</v>
      </c>
      <c r="E22" s="9" t="s">
        <v>301</v>
      </c>
      <c r="F22" s="9" t="s">
        <v>368</v>
      </c>
      <c r="G22" s="9" t="s">
        <v>304</v>
      </c>
      <c r="H22" s="9" t="s">
        <v>369</v>
      </c>
      <c r="I22" s="9" t="s">
        <v>321</v>
      </c>
      <c r="J22" s="9" t="s">
        <v>410</v>
      </c>
      <c r="K22" s="9" t="s">
        <v>306</v>
      </c>
      <c r="L22" s="9" t="s">
        <v>306</v>
      </c>
      <c r="M22" s="9" t="s">
        <v>306</v>
      </c>
      <c r="N22" s="9" t="s">
        <v>306</v>
      </c>
      <c r="O22" s="9" t="s">
        <v>306</v>
      </c>
      <c r="P22" s="9"/>
      <c r="Q22" s="9"/>
      <c r="R22" s="9" t="s">
        <v>306</v>
      </c>
      <c r="S22" s="9">
        <v>39</v>
      </c>
      <c r="T22" s="9">
        <v>4</v>
      </c>
      <c r="U22" s="9" t="s">
        <v>308</v>
      </c>
      <c r="V22" s="9" t="s">
        <v>372</v>
      </c>
      <c r="W22" s="9" t="s">
        <v>310</v>
      </c>
      <c r="X22" s="10">
        <v>80</v>
      </c>
      <c r="Y22" s="10">
        <v>20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100</v>
      </c>
      <c r="AI22" s="9" t="s">
        <v>307</v>
      </c>
      <c r="AJ22" s="9">
        <v>65</v>
      </c>
      <c r="AK22" s="9">
        <v>35</v>
      </c>
      <c r="AL22" s="9">
        <v>0</v>
      </c>
      <c r="AM22" s="9">
        <v>0</v>
      </c>
      <c r="AN22" s="9">
        <v>0</v>
      </c>
      <c r="AO22" s="9">
        <v>90</v>
      </c>
      <c r="AP22" s="9">
        <v>10</v>
      </c>
      <c r="AQ22" s="9">
        <v>0</v>
      </c>
      <c r="AR22" s="9" t="s">
        <v>50</v>
      </c>
      <c r="AS22" s="9"/>
      <c r="AT22" s="9"/>
      <c r="AU22" s="9"/>
      <c r="AV22" s="9"/>
      <c r="AW22" s="9"/>
      <c r="AX22" s="9"/>
      <c r="AY22" s="9"/>
      <c r="AZ22" s="9"/>
      <c r="BA22" s="9"/>
      <c r="BB22" s="9" t="s">
        <v>306</v>
      </c>
      <c r="BC22" s="9" t="s">
        <v>400</v>
      </c>
      <c r="BD22" s="9" t="s">
        <v>306</v>
      </c>
      <c r="BE22" s="9" t="s">
        <v>56</v>
      </c>
      <c r="BF22" s="9"/>
      <c r="BG22" s="9"/>
      <c r="BH22" s="9" t="s">
        <v>306</v>
      </c>
      <c r="BI22" s="9"/>
      <c r="BJ22" s="9"/>
      <c r="BK22" s="9"/>
      <c r="BL22" s="9"/>
      <c r="BM22" s="9"/>
      <c r="BN22" s="9"/>
      <c r="BO22" s="9" t="s">
        <v>62</v>
      </c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 t="s">
        <v>306</v>
      </c>
      <c r="CB22" s="9" t="s">
        <v>566</v>
      </c>
      <c r="CC22" s="9"/>
      <c r="CD22" s="9"/>
      <c r="CE22" s="9"/>
      <c r="CF22" s="9"/>
      <c r="CG22" s="9" t="s">
        <v>306</v>
      </c>
      <c r="CH22" s="9"/>
      <c r="CI22" s="9" t="s">
        <v>306</v>
      </c>
      <c r="CJ22" s="9"/>
      <c r="CK22" s="9"/>
      <c r="CL22" s="9" t="s">
        <v>314</v>
      </c>
      <c r="CM22" s="9" t="s">
        <v>62</v>
      </c>
      <c r="CN22" s="9" t="s">
        <v>307</v>
      </c>
      <c r="CO22" s="9" t="s">
        <v>92</v>
      </c>
      <c r="CP22" s="9"/>
      <c r="CQ22" s="9"/>
      <c r="CR22" s="9"/>
      <c r="CS22" s="9"/>
      <c r="CT22" s="9"/>
      <c r="CU22" s="9"/>
      <c r="CV22" s="9" t="s">
        <v>306</v>
      </c>
      <c r="CW22" s="9" t="s">
        <v>97</v>
      </c>
      <c r="CX22" s="9"/>
      <c r="CY22" s="9"/>
      <c r="CZ22" s="9"/>
      <c r="DA22" s="9" t="s">
        <v>306</v>
      </c>
      <c r="DB22" s="9"/>
      <c r="DC22" s="9"/>
      <c r="DD22" s="11">
        <v>350</v>
      </c>
      <c r="DE22" s="11">
        <v>350</v>
      </c>
      <c r="DF22" s="11">
        <v>350</v>
      </c>
      <c r="DG22" s="12">
        <v>17.166666666666668</v>
      </c>
      <c r="DH22" s="9">
        <v>16</v>
      </c>
      <c r="DI22" s="9">
        <v>18</v>
      </c>
      <c r="DJ22" s="9">
        <v>84</v>
      </c>
      <c r="DK22" s="9">
        <v>5</v>
      </c>
      <c r="DL22" s="9">
        <v>0</v>
      </c>
      <c r="DM22" s="9">
        <v>0</v>
      </c>
      <c r="DN22" s="9">
        <v>11</v>
      </c>
      <c r="DO22" s="9">
        <v>90</v>
      </c>
      <c r="DP22" s="9">
        <v>30</v>
      </c>
      <c r="DQ22" s="9" t="s">
        <v>306</v>
      </c>
      <c r="DR22" s="9" t="s">
        <v>306</v>
      </c>
      <c r="DS22" s="9" t="s">
        <v>307</v>
      </c>
      <c r="DT22" s="10">
        <v>0.85479452054794525</v>
      </c>
      <c r="DU22" s="10">
        <v>1</v>
      </c>
      <c r="DV22" s="10">
        <f t="shared" si="0"/>
        <v>1.8547945205479452</v>
      </c>
      <c r="DW22" s="9">
        <v>23</v>
      </c>
      <c r="DX22" s="9">
        <v>5</v>
      </c>
      <c r="DY22" s="9">
        <v>2</v>
      </c>
      <c r="DZ22" s="9">
        <v>3</v>
      </c>
      <c r="EA22" s="9">
        <v>3</v>
      </c>
      <c r="EB22" s="9">
        <v>5</v>
      </c>
      <c r="EC22" s="9">
        <v>0</v>
      </c>
      <c r="ED22" s="9">
        <v>1</v>
      </c>
      <c r="EE22" s="9">
        <v>1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100</v>
      </c>
      <c r="EM22" s="9">
        <v>0</v>
      </c>
      <c r="EN22" s="9">
        <v>0</v>
      </c>
      <c r="EO22" s="9">
        <v>50</v>
      </c>
      <c r="EP22" s="9">
        <v>50</v>
      </c>
      <c r="EQ22" s="9">
        <v>0</v>
      </c>
      <c r="ER22" s="9">
        <v>0</v>
      </c>
      <c r="ES22" s="9">
        <v>0</v>
      </c>
      <c r="ET22" s="9">
        <v>0</v>
      </c>
      <c r="EU22" s="9">
        <v>0</v>
      </c>
      <c r="EV22" s="9" t="s">
        <v>317</v>
      </c>
      <c r="EW22" s="9" t="s">
        <v>306</v>
      </c>
      <c r="EX22" s="9" t="s">
        <v>306</v>
      </c>
      <c r="EY22" s="9" t="s">
        <v>459</v>
      </c>
      <c r="EZ22" s="9" t="s">
        <v>306</v>
      </c>
      <c r="FA22" s="9" t="s">
        <v>306</v>
      </c>
      <c r="FB22" s="9" t="s">
        <v>319</v>
      </c>
      <c r="FC22" s="9">
        <v>2</v>
      </c>
      <c r="FD22" s="9">
        <v>2</v>
      </c>
      <c r="FE22" s="9" t="s">
        <v>377</v>
      </c>
      <c r="FF22" s="9" t="s">
        <v>352</v>
      </c>
      <c r="FG22" s="9" t="s">
        <v>156</v>
      </c>
      <c r="FH22" s="9" t="s">
        <v>306</v>
      </c>
      <c r="FI22" s="9"/>
      <c r="FJ22" s="9"/>
      <c r="FK22" s="9"/>
      <c r="FL22" s="9"/>
      <c r="FM22" s="9"/>
      <c r="FN22" s="9"/>
      <c r="FO22" s="9"/>
      <c r="FP22" s="9"/>
      <c r="FQ22" s="9" t="s">
        <v>482</v>
      </c>
      <c r="FR22" s="9"/>
      <c r="FS22" s="9"/>
      <c r="FT22" s="9"/>
      <c r="FU22" s="9"/>
      <c r="FV22" s="9"/>
      <c r="FW22" s="9"/>
      <c r="FX22" s="9"/>
      <c r="FY22" s="9"/>
      <c r="FZ22" s="9" t="s">
        <v>378</v>
      </c>
      <c r="GA22" s="9" t="s">
        <v>176</v>
      </c>
      <c r="GB22" s="9" t="s">
        <v>306</v>
      </c>
      <c r="GC22" s="9"/>
      <c r="GD22" s="9"/>
      <c r="GE22" s="9"/>
      <c r="GF22" s="9"/>
      <c r="GG22" s="9"/>
      <c r="GH22" s="9"/>
      <c r="GI22" s="9" t="s">
        <v>325</v>
      </c>
      <c r="GJ22" s="9" t="s">
        <v>306</v>
      </c>
      <c r="GK22" s="9">
        <v>2.58</v>
      </c>
      <c r="GL22" s="9" t="s">
        <v>187</v>
      </c>
      <c r="GM22" s="9" t="s">
        <v>306</v>
      </c>
      <c r="GN22" s="9"/>
      <c r="GO22" s="9"/>
      <c r="GP22" s="9"/>
      <c r="GQ22" s="9"/>
      <c r="GR22" s="9"/>
      <c r="GS22" s="9">
        <v>26</v>
      </c>
      <c r="GT22" s="9" t="s">
        <v>567</v>
      </c>
      <c r="GU22" s="9" t="s">
        <v>306</v>
      </c>
      <c r="GV22" s="9" t="s">
        <v>306</v>
      </c>
      <c r="GW22" s="9"/>
      <c r="GX22" s="9"/>
      <c r="GY22" s="9" t="s">
        <v>306</v>
      </c>
      <c r="GZ22" s="9" t="s">
        <v>306</v>
      </c>
      <c r="HA22" s="9"/>
      <c r="HB22" s="9"/>
      <c r="HC22" s="9"/>
      <c r="HD22" s="9"/>
      <c r="HE22" s="9"/>
      <c r="HF22" s="9" t="s">
        <v>62</v>
      </c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 t="s">
        <v>306</v>
      </c>
      <c r="HR22" s="9">
        <v>0</v>
      </c>
      <c r="HS22" s="9">
        <v>0</v>
      </c>
      <c r="HT22" s="9">
        <v>100</v>
      </c>
      <c r="HU22" s="9">
        <v>0</v>
      </c>
      <c r="HV22" s="9">
        <v>0</v>
      </c>
      <c r="HW22" s="9" t="s">
        <v>568</v>
      </c>
      <c r="HX22" s="9"/>
      <c r="HY22" s="9"/>
      <c r="HZ22" s="9" t="s">
        <v>306</v>
      </c>
      <c r="IA22" s="9"/>
      <c r="IB22" s="9"/>
      <c r="IC22" s="9"/>
      <c r="ID22" s="9"/>
      <c r="IE22" s="9" t="s">
        <v>306</v>
      </c>
      <c r="IF22" s="9"/>
      <c r="IG22" s="9"/>
      <c r="IH22" s="9" t="s">
        <v>330</v>
      </c>
      <c r="II22" s="9" t="s">
        <v>383</v>
      </c>
      <c r="IJ22" s="9" t="s">
        <v>569</v>
      </c>
      <c r="IK22" s="9" t="s">
        <v>306</v>
      </c>
      <c r="IL22" s="9"/>
      <c r="IM22" s="9" t="s">
        <v>306</v>
      </c>
      <c r="IN22" s="9"/>
      <c r="IO22" s="9" t="s">
        <v>306</v>
      </c>
      <c r="IP22" s="9"/>
      <c r="IQ22" s="9"/>
      <c r="IR22" s="9" t="s">
        <v>306</v>
      </c>
      <c r="IS22" s="9"/>
      <c r="IT22" s="9"/>
      <c r="IU22" s="9" t="s">
        <v>407</v>
      </c>
      <c r="IV22" s="9" t="s">
        <v>172</v>
      </c>
      <c r="IW22" s="9"/>
      <c r="IX22" s="9"/>
      <c r="IY22" s="9"/>
      <c r="IZ22" s="9"/>
      <c r="JA22" s="9"/>
      <c r="JB22" s="9">
        <v>3</v>
      </c>
      <c r="JC22" s="9">
        <v>3</v>
      </c>
      <c r="JD22" s="9">
        <v>100</v>
      </c>
      <c r="JE22" s="9">
        <v>27</v>
      </c>
      <c r="JF22" s="9">
        <v>13</v>
      </c>
      <c r="JG22" s="9">
        <v>3</v>
      </c>
      <c r="JH22" s="9">
        <v>3</v>
      </c>
      <c r="JI22" s="9" t="s">
        <v>433</v>
      </c>
      <c r="JJ22" s="9" t="s">
        <v>306</v>
      </c>
      <c r="JK22" s="9" t="s">
        <v>306</v>
      </c>
      <c r="JL22" s="9"/>
      <c r="JM22" s="9" t="s">
        <v>306</v>
      </c>
      <c r="JN22" s="9" t="s">
        <v>306</v>
      </c>
      <c r="JO22" s="9" t="s">
        <v>306</v>
      </c>
      <c r="JP22" s="9" t="s">
        <v>306</v>
      </c>
      <c r="JQ22" s="9" t="s">
        <v>306</v>
      </c>
      <c r="JR22" s="9" t="s">
        <v>306</v>
      </c>
      <c r="JS22" s="9" t="s">
        <v>306</v>
      </c>
      <c r="JT22" s="9" t="s">
        <v>570</v>
      </c>
      <c r="JU22" s="9" t="s">
        <v>306</v>
      </c>
      <c r="JV22" s="9" t="s">
        <v>306</v>
      </c>
      <c r="JW22" s="9" t="s">
        <v>306</v>
      </c>
      <c r="JX22" s="9" t="s">
        <v>306</v>
      </c>
      <c r="JY22" s="9"/>
      <c r="JZ22" s="9"/>
      <c r="KA22" s="9" t="s">
        <v>306</v>
      </c>
      <c r="KB22" s="9" t="s">
        <v>475</v>
      </c>
      <c r="KC22" s="9"/>
      <c r="KD22" s="9" t="s">
        <v>306</v>
      </c>
      <c r="KE22" s="9" t="s">
        <v>306</v>
      </c>
      <c r="KF22" s="9"/>
      <c r="KG22" s="9" t="s">
        <v>337</v>
      </c>
      <c r="KH22" s="9" t="s">
        <v>338</v>
      </c>
      <c r="KI22" s="9" t="s">
        <v>339</v>
      </c>
      <c r="KJ22" s="9" t="s">
        <v>306</v>
      </c>
      <c r="KK22" s="9" t="s">
        <v>435</v>
      </c>
      <c r="KL22" s="9" t="s">
        <v>306</v>
      </c>
      <c r="KM22" s="9" t="s">
        <v>306</v>
      </c>
      <c r="KN22" s="9"/>
      <c r="KO22" s="9" t="s">
        <v>306</v>
      </c>
      <c r="KP22" s="9"/>
      <c r="KQ22" s="9"/>
      <c r="KR22" s="9"/>
      <c r="KS22" s="9"/>
      <c r="KT22" s="9"/>
      <c r="KU22" s="9">
        <v>4</v>
      </c>
      <c r="KV22" s="9">
        <v>2.4500000000000002</v>
      </c>
      <c r="KW22" s="9">
        <v>1.99</v>
      </c>
      <c r="KX22" s="9">
        <v>2.5499999999999998</v>
      </c>
      <c r="KY22" s="9" t="s">
        <v>365</v>
      </c>
      <c r="KZ22" s="9" t="s">
        <v>306</v>
      </c>
      <c r="LA22" s="9" t="s">
        <v>306</v>
      </c>
      <c r="LB22" s="9" t="s">
        <v>306</v>
      </c>
      <c r="LC22" s="9" t="s">
        <v>306</v>
      </c>
      <c r="LD22" s="9" t="s">
        <v>306</v>
      </c>
      <c r="LE22" s="9"/>
      <c r="LF22" s="9"/>
      <c r="LG22" s="9" t="s">
        <v>62</v>
      </c>
      <c r="LH22" s="9" t="s">
        <v>341</v>
      </c>
      <c r="LI22" s="9" t="s">
        <v>341</v>
      </c>
      <c r="LJ22" s="9" t="s">
        <v>307</v>
      </c>
      <c r="LK22" s="9" t="s">
        <v>62</v>
      </c>
    </row>
    <row r="23" spans="1:323" x14ac:dyDescent="0.3">
      <c r="A23" s="8"/>
      <c r="B23" s="9" t="s">
        <v>300</v>
      </c>
      <c r="C23" s="9" t="s">
        <v>367</v>
      </c>
      <c r="D23" s="9" t="s">
        <v>632</v>
      </c>
      <c r="E23" s="9" t="s">
        <v>301</v>
      </c>
      <c r="F23" s="9" t="s">
        <v>303</v>
      </c>
      <c r="G23" s="9" t="s">
        <v>304</v>
      </c>
      <c r="H23" s="9" t="s">
        <v>369</v>
      </c>
      <c r="I23" s="9" t="s">
        <v>304</v>
      </c>
      <c r="J23" s="9" t="s">
        <v>410</v>
      </c>
      <c r="K23" s="9" t="s">
        <v>306</v>
      </c>
      <c r="L23" s="9" t="s">
        <v>306</v>
      </c>
      <c r="M23" s="9" t="s">
        <v>306</v>
      </c>
      <c r="N23" s="9" t="s">
        <v>306</v>
      </c>
      <c r="O23" s="9" t="s">
        <v>306</v>
      </c>
      <c r="P23" s="9"/>
      <c r="Q23" s="9"/>
      <c r="R23" s="9" t="s">
        <v>306</v>
      </c>
      <c r="S23" s="9">
        <v>25</v>
      </c>
      <c r="T23" s="9">
        <v>5</v>
      </c>
      <c r="U23" s="9" t="s">
        <v>308</v>
      </c>
      <c r="V23" s="9" t="s">
        <v>467</v>
      </c>
      <c r="W23" s="9" t="s">
        <v>346</v>
      </c>
      <c r="X23" s="10">
        <v>70</v>
      </c>
      <c r="Y23" s="10">
        <v>30</v>
      </c>
      <c r="Z23" s="10">
        <v>0</v>
      </c>
      <c r="AA23" s="10">
        <v>0</v>
      </c>
      <c r="AB23" s="10">
        <v>0</v>
      </c>
      <c r="AC23" s="10">
        <v>0</v>
      </c>
      <c r="AD23" s="10">
        <v>100</v>
      </c>
      <c r="AE23" s="10">
        <v>0</v>
      </c>
      <c r="AF23" s="10">
        <v>0</v>
      </c>
      <c r="AG23" s="10">
        <v>0</v>
      </c>
      <c r="AH23" s="10">
        <v>0</v>
      </c>
      <c r="AI23" s="9" t="s">
        <v>307</v>
      </c>
      <c r="AJ23" s="9">
        <v>70</v>
      </c>
      <c r="AK23" s="9">
        <v>0</v>
      </c>
      <c r="AL23" s="9">
        <v>0</v>
      </c>
      <c r="AM23" s="9">
        <v>15</v>
      </c>
      <c r="AN23" s="9">
        <v>15</v>
      </c>
      <c r="AO23" s="9">
        <v>95</v>
      </c>
      <c r="AP23" s="9">
        <v>5</v>
      </c>
      <c r="AQ23" s="9">
        <v>0</v>
      </c>
      <c r="AR23" s="9" t="s">
        <v>50</v>
      </c>
      <c r="AS23" s="9"/>
      <c r="AT23" s="9"/>
      <c r="AU23" s="9"/>
      <c r="AV23" s="9"/>
      <c r="AW23" s="9"/>
      <c r="AX23" s="9"/>
      <c r="AY23" s="9"/>
      <c r="AZ23" s="9"/>
      <c r="BA23" s="9"/>
      <c r="BB23" s="9" t="s">
        <v>306</v>
      </c>
      <c r="BC23" s="9" t="s">
        <v>311</v>
      </c>
      <c r="BD23" s="9" t="s">
        <v>306</v>
      </c>
      <c r="BE23" s="9" t="s">
        <v>348</v>
      </c>
      <c r="BF23" s="9" t="s">
        <v>306</v>
      </c>
      <c r="BG23" s="9"/>
      <c r="BH23" s="9" t="s">
        <v>306</v>
      </c>
      <c r="BI23" s="9"/>
      <c r="BJ23" s="9" t="s">
        <v>306</v>
      </c>
      <c r="BK23" s="9"/>
      <c r="BL23" s="9"/>
      <c r="BM23" s="9"/>
      <c r="BN23" s="9"/>
      <c r="BO23" s="9" t="s">
        <v>69</v>
      </c>
      <c r="BP23" s="9"/>
      <c r="BQ23" s="9"/>
      <c r="BR23" s="9"/>
      <c r="BS23" s="9"/>
      <c r="BT23" s="9"/>
      <c r="BU23" s="9" t="s">
        <v>306</v>
      </c>
      <c r="BV23" s="9"/>
      <c r="BW23" s="9"/>
      <c r="BX23" s="9"/>
      <c r="BY23" s="9"/>
      <c r="BZ23" s="9"/>
      <c r="CA23" s="9"/>
      <c r="CB23" s="9" t="s">
        <v>458</v>
      </c>
      <c r="CC23" s="9"/>
      <c r="CD23" s="9"/>
      <c r="CE23" s="9" t="s">
        <v>306</v>
      </c>
      <c r="CF23" s="9" t="s">
        <v>306</v>
      </c>
      <c r="CG23" s="9"/>
      <c r="CH23" s="9"/>
      <c r="CI23" s="9"/>
      <c r="CJ23" s="9" t="s">
        <v>306</v>
      </c>
      <c r="CK23" s="9"/>
      <c r="CL23" s="9" t="s">
        <v>314</v>
      </c>
      <c r="CM23" s="9" t="s">
        <v>62</v>
      </c>
      <c r="CN23" s="9" t="s">
        <v>307</v>
      </c>
      <c r="CO23" s="9" t="s">
        <v>92</v>
      </c>
      <c r="CP23" s="9"/>
      <c r="CQ23" s="9"/>
      <c r="CR23" s="9"/>
      <c r="CS23" s="9"/>
      <c r="CT23" s="9"/>
      <c r="CU23" s="9"/>
      <c r="CV23" s="9" t="s">
        <v>306</v>
      </c>
      <c r="CW23" s="9" t="s">
        <v>98</v>
      </c>
      <c r="CX23" s="9"/>
      <c r="CY23" s="9"/>
      <c r="CZ23" s="9"/>
      <c r="DA23" s="9"/>
      <c r="DB23" s="9" t="s">
        <v>306</v>
      </c>
      <c r="DC23" s="9"/>
      <c r="DD23" s="11">
        <v>400</v>
      </c>
      <c r="DE23" s="11">
        <v>400</v>
      </c>
      <c r="DF23" s="11">
        <v>400</v>
      </c>
      <c r="DG23" s="12">
        <v>27.916666666666668</v>
      </c>
      <c r="DH23" s="9">
        <v>25</v>
      </c>
      <c r="DI23" s="9">
        <v>30</v>
      </c>
      <c r="DJ23" s="9">
        <v>95</v>
      </c>
      <c r="DK23" s="9">
        <v>0</v>
      </c>
      <c r="DL23" s="9">
        <v>0</v>
      </c>
      <c r="DM23" s="9">
        <v>1</v>
      </c>
      <c r="DN23" s="9">
        <v>4</v>
      </c>
      <c r="DO23" s="9">
        <v>12</v>
      </c>
      <c r="DP23" s="9">
        <v>16.5</v>
      </c>
      <c r="DQ23" s="9" t="s">
        <v>306</v>
      </c>
      <c r="DR23" s="9" t="s">
        <v>307</v>
      </c>
      <c r="DS23" s="9" t="s">
        <v>307</v>
      </c>
      <c r="DT23" s="10">
        <v>1.4794520547945205</v>
      </c>
      <c r="DU23" s="10">
        <v>0</v>
      </c>
      <c r="DV23" s="10">
        <f t="shared" si="0"/>
        <v>1.4794520547945205</v>
      </c>
      <c r="DW23" s="9">
        <v>15</v>
      </c>
      <c r="DX23" s="9">
        <v>2</v>
      </c>
      <c r="DY23" s="9">
        <v>3</v>
      </c>
      <c r="DZ23" s="9">
        <v>0</v>
      </c>
      <c r="EA23" s="9">
        <v>10</v>
      </c>
      <c r="EB23" s="9">
        <v>8</v>
      </c>
      <c r="EC23" s="9">
        <v>0</v>
      </c>
      <c r="ED23" s="9">
        <v>0</v>
      </c>
      <c r="EE23" s="9">
        <v>1</v>
      </c>
      <c r="EF23" s="9">
        <v>0</v>
      </c>
      <c r="EG23" s="9">
        <v>60</v>
      </c>
      <c r="EH23" s="9">
        <v>40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60</v>
      </c>
      <c r="EP23" s="9">
        <v>40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 t="s">
        <v>317</v>
      </c>
      <c r="EW23" s="9" t="s">
        <v>306</v>
      </c>
      <c r="EX23" s="9" t="s">
        <v>306</v>
      </c>
      <c r="EY23" s="9" t="s">
        <v>318</v>
      </c>
      <c r="EZ23" s="9" t="s">
        <v>306</v>
      </c>
      <c r="FA23" s="9" t="s">
        <v>306</v>
      </c>
      <c r="FB23" s="9" t="s">
        <v>319</v>
      </c>
      <c r="FC23" s="9">
        <v>2</v>
      </c>
      <c r="FD23" s="9">
        <v>2</v>
      </c>
      <c r="FE23" s="9" t="s">
        <v>377</v>
      </c>
      <c r="FF23" s="9" t="s">
        <v>352</v>
      </c>
      <c r="FG23" s="9" t="s">
        <v>571</v>
      </c>
      <c r="FH23" s="9" t="s">
        <v>306</v>
      </c>
      <c r="FI23" s="9" t="s">
        <v>306</v>
      </c>
      <c r="FJ23" s="9"/>
      <c r="FK23" s="9"/>
      <c r="FL23" s="9"/>
      <c r="FM23" s="9"/>
      <c r="FN23" s="9"/>
      <c r="FO23" s="9"/>
      <c r="FP23" s="9"/>
      <c r="FQ23" s="9" t="s">
        <v>482</v>
      </c>
      <c r="FR23" s="9"/>
      <c r="FS23" s="9"/>
      <c r="FT23" s="9"/>
      <c r="FU23" s="9"/>
      <c r="FV23" s="9"/>
      <c r="FW23" s="9"/>
      <c r="FX23" s="9"/>
      <c r="FY23" s="9"/>
      <c r="FZ23" s="9" t="s">
        <v>378</v>
      </c>
      <c r="GA23" s="9" t="s">
        <v>324</v>
      </c>
      <c r="GB23" s="9" t="s">
        <v>306</v>
      </c>
      <c r="GC23" s="9" t="s">
        <v>306</v>
      </c>
      <c r="GD23" s="9"/>
      <c r="GE23" s="9"/>
      <c r="GF23" s="9"/>
      <c r="GG23" s="9"/>
      <c r="GH23" s="9"/>
      <c r="GI23" s="9" t="s">
        <v>325</v>
      </c>
      <c r="GJ23" s="9" t="s">
        <v>306</v>
      </c>
      <c r="GK23" s="9">
        <v>2.35</v>
      </c>
      <c r="GL23" s="9" t="s">
        <v>326</v>
      </c>
      <c r="GM23" s="9" t="s">
        <v>306</v>
      </c>
      <c r="GN23" s="9"/>
      <c r="GO23" s="9" t="s">
        <v>306</v>
      </c>
      <c r="GP23" s="9"/>
      <c r="GQ23" s="9"/>
      <c r="GR23" s="9" t="s">
        <v>306</v>
      </c>
      <c r="GS23" s="9">
        <v>36</v>
      </c>
      <c r="GT23" s="9" t="s">
        <v>572</v>
      </c>
      <c r="GU23" s="9"/>
      <c r="GV23" s="9"/>
      <c r="GW23" s="9"/>
      <c r="GX23" s="9" t="s">
        <v>306</v>
      </c>
      <c r="GY23" s="9"/>
      <c r="GZ23" s="9"/>
      <c r="HA23" s="9"/>
      <c r="HB23" s="9"/>
      <c r="HC23" s="9"/>
      <c r="HD23" s="9" t="s">
        <v>306</v>
      </c>
      <c r="HE23" s="9"/>
      <c r="HF23" s="9" t="s">
        <v>197</v>
      </c>
      <c r="HG23" s="9"/>
      <c r="HH23" s="9"/>
      <c r="HI23" s="9" t="s">
        <v>306</v>
      </c>
      <c r="HJ23" s="9"/>
      <c r="HK23" s="9"/>
      <c r="HL23" s="9"/>
      <c r="HM23" s="9"/>
      <c r="HN23" s="9"/>
      <c r="HO23" s="9"/>
      <c r="HP23" s="9"/>
      <c r="HQ23" s="9"/>
      <c r="HR23" s="9">
        <v>0</v>
      </c>
      <c r="HS23" s="9">
        <v>100</v>
      </c>
      <c r="HT23" s="9">
        <v>0</v>
      </c>
      <c r="HU23" s="9">
        <v>0</v>
      </c>
      <c r="HV23" s="9">
        <v>0</v>
      </c>
      <c r="HW23" s="9" t="s">
        <v>359</v>
      </c>
      <c r="HX23" s="9" t="s">
        <v>306</v>
      </c>
      <c r="HY23" s="9"/>
      <c r="HZ23" s="9"/>
      <c r="IA23" s="9"/>
      <c r="IB23" s="9" t="s">
        <v>306</v>
      </c>
      <c r="IC23" s="9"/>
      <c r="ID23" s="9"/>
      <c r="IE23" s="9" t="s">
        <v>306</v>
      </c>
      <c r="IF23" s="9"/>
      <c r="IG23" s="9"/>
      <c r="IH23" s="9" t="s">
        <v>330</v>
      </c>
      <c r="II23" s="9" t="s">
        <v>383</v>
      </c>
      <c r="IJ23" s="9" t="s">
        <v>463</v>
      </c>
      <c r="IK23" s="9" t="s">
        <v>306</v>
      </c>
      <c r="IL23" s="9"/>
      <c r="IM23" s="9"/>
      <c r="IN23" s="9"/>
      <c r="IO23" s="9"/>
      <c r="IP23" s="9"/>
      <c r="IQ23" s="9"/>
      <c r="IR23" s="9"/>
      <c r="IS23" s="9"/>
      <c r="IT23" s="9" t="s">
        <v>306</v>
      </c>
      <c r="IU23" s="9" t="s">
        <v>498</v>
      </c>
      <c r="IV23" s="9" t="s">
        <v>395</v>
      </c>
      <c r="IW23" s="9" t="s">
        <v>306</v>
      </c>
      <c r="IX23" s="9" t="s">
        <v>306</v>
      </c>
      <c r="IY23" s="9" t="s">
        <v>306</v>
      </c>
      <c r="IZ23" s="9"/>
      <c r="JA23" s="9" t="s">
        <v>306</v>
      </c>
      <c r="JB23" s="9">
        <v>0</v>
      </c>
      <c r="JC23" s="9">
        <v>3</v>
      </c>
      <c r="JD23" s="9">
        <v>100</v>
      </c>
      <c r="JE23" s="9">
        <v>23</v>
      </c>
      <c r="JF23" s="9">
        <v>12</v>
      </c>
      <c r="JG23" s="9">
        <v>0</v>
      </c>
      <c r="JH23" s="9">
        <v>3</v>
      </c>
      <c r="JI23" s="9" t="s">
        <v>556</v>
      </c>
      <c r="JJ23" s="9" t="s">
        <v>306</v>
      </c>
      <c r="JK23" s="9" t="s">
        <v>306</v>
      </c>
      <c r="JL23" s="9"/>
      <c r="JM23" s="9" t="s">
        <v>306</v>
      </c>
      <c r="JN23" s="9"/>
      <c r="JO23" s="9" t="s">
        <v>306</v>
      </c>
      <c r="JP23" s="9" t="s">
        <v>306</v>
      </c>
      <c r="JQ23" s="9" t="s">
        <v>306</v>
      </c>
      <c r="JR23" s="9" t="s">
        <v>306</v>
      </c>
      <c r="JS23" s="9" t="s">
        <v>306</v>
      </c>
      <c r="JT23" s="9" t="s">
        <v>487</v>
      </c>
      <c r="JU23" s="9" t="s">
        <v>306</v>
      </c>
      <c r="JV23" s="9" t="s">
        <v>306</v>
      </c>
      <c r="JW23" s="9" t="s">
        <v>306</v>
      </c>
      <c r="JX23" s="9" t="s">
        <v>306</v>
      </c>
      <c r="JY23" s="9"/>
      <c r="JZ23" s="9" t="s">
        <v>306</v>
      </c>
      <c r="KA23" s="9"/>
      <c r="KB23" s="9" t="s">
        <v>267</v>
      </c>
      <c r="KC23" s="9"/>
      <c r="KD23" s="9" t="s">
        <v>306</v>
      </c>
      <c r="KE23" s="9"/>
      <c r="KF23" s="9"/>
      <c r="KG23" s="9" t="s">
        <v>337</v>
      </c>
      <c r="KH23" s="9" t="s">
        <v>338</v>
      </c>
      <c r="KI23" s="9" t="s">
        <v>339</v>
      </c>
      <c r="KJ23" s="9" t="s">
        <v>306</v>
      </c>
      <c r="KK23" s="9" t="s">
        <v>278</v>
      </c>
      <c r="KL23" s="9"/>
      <c r="KM23" s="9"/>
      <c r="KN23" s="9"/>
      <c r="KO23" s="9" t="s">
        <v>306</v>
      </c>
      <c r="KP23" s="9"/>
      <c r="KQ23" s="9"/>
      <c r="KR23" s="9"/>
      <c r="KS23" s="9"/>
      <c r="KT23" s="9"/>
      <c r="KU23" s="9">
        <v>5</v>
      </c>
      <c r="KV23" s="9">
        <v>2.8</v>
      </c>
      <c r="KW23" s="9">
        <v>2.2999999999999998</v>
      </c>
      <c r="KX23" s="9">
        <v>2.9</v>
      </c>
      <c r="KY23" s="9" t="s">
        <v>397</v>
      </c>
      <c r="KZ23" s="9"/>
      <c r="LA23" s="9" t="s">
        <v>306</v>
      </c>
      <c r="LB23" s="9" t="s">
        <v>306</v>
      </c>
      <c r="LC23" s="9" t="s">
        <v>306</v>
      </c>
      <c r="LD23" s="9" t="s">
        <v>306</v>
      </c>
      <c r="LE23" s="9"/>
      <c r="LF23" s="9"/>
      <c r="LG23" s="9" t="s">
        <v>454</v>
      </c>
      <c r="LH23" s="9" t="s">
        <v>341</v>
      </c>
      <c r="LI23" s="9" t="s">
        <v>341</v>
      </c>
      <c r="LJ23" s="9" t="s">
        <v>307</v>
      </c>
      <c r="LK23" s="9" t="s">
        <v>342</v>
      </c>
    </row>
    <row r="24" spans="1:323" x14ac:dyDescent="0.3">
      <c r="A24" s="8"/>
      <c r="B24" s="9" t="s">
        <v>573</v>
      </c>
      <c r="C24" s="9" t="s">
        <v>302</v>
      </c>
      <c r="D24" s="9" t="s">
        <v>635</v>
      </c>
      <c r="E24" s="9" t="s">
        <v>301</v>
      </c>
      <c r="F24" s="9" t="s">
        <v>368</v>
      </c>
      <c r="G24" s="9" t="s">
        <v>304</v>
      </c>
      <c r="H24" s="9" t="s">
        <v>304</v>
      </c>
      <c r="I24" s="9" t="s">
        <v>304</v>
      </c>
      <c r="J24" s="9" t="s">
        <v>425</v>
      </c>
      <c r="K24" s="9" t="s">
        <v>306</v>
      </c>
      <c r="L24" s="9" t="s">
        <v>306</v>
      </c>
      <c r="M24" s="9" t="s">
        <v>306</v>
      </c>
      <c r="N24" s="9" t="s">
        <v>306</v>
      </c>
      <c r="O24" s="9"/>
      <c r="P24" s="9"/>
      <c r="Q24" s="9"/>
      <c r="R24" s="9"/>
      <c r="S24" s="9">
        <v>45</v>
      </c>
      <c r="T24" s="9">
        <v>23</v>
      </c>
      <c r="U24" s="9" t="s">
        <v>308</v>
      </c>
      <c r="V24" s="9" t="s">
        <v>372</v>
      </c>
      <c r="W24" s="9" t="s">
        <v>310</v>
      </c>
      <c r="X24" s="10">
        <v>0</v>
      </c>
      <c r="Y24" s="10">
        <v>0</v>
      </c>
      <c r="Z24" s="10">
        <v>0</v>
      </c>
      <c r="AA24" s="10">
        <v>100</v>
      </c>
      <c r="AB24" s="10">
        <v>0</v>
      </c>
      <c r="AC24" s="10">
        <v>0</v>
      </c>
      <c r="AD24" s="10"/>
      <c r="AE24" s="10"/>
      <c r="AF24" s="10"/>
      <c r="AG24" s="10"/>
      <c r="AH24" s="10"/>
      <c r="AI24" s="9" t="s">
        <v>307</v>
      </c>
      <c r="AJ24" s="9">
        <v>60</v>
      </c>
      <c r="AK24" s="9">
        <v>15</v>
      </c>
      <c r="AL24" s="9">
        <v>15</v>
      </c>
      <c r="AM24" s="9">
        <v>0</v>
      </c>
      <c r="AN24" s="9">
        <v>10</v>
      </c>
      <c r="AO24" s="9"/>
      <c r="AP24" s="9"/>
      <c r="AQ24" s="9"/>
      <c r="AR24" s="9" t="s">
        <v>50</v>
      </c>
      <c r="AS24" s="9"/>
      <c r="AT24" s="9"/>
      <c r="AU24" s="9"/>
      <c r="AV24" s="9"/>
      <c r="AW24" s="9"/>
      <c r="AX24" s="9"/>
      <c r="AY24" s="9"/>
      <c r="AZ24" s="9"/>
      <c r="BA24" s="9"/>
      <c r="BB24" s="9" t="s">
        <v>306</v>
      </c>
      <c r="BC24" s="9" t="s">
        <v>574</v>
      </c>
      <c r="BD24" s="9" t="s">
        <v>307</v>
      </c>
      <c r="BE24" s="9" t="s">
        <v>575</v>
      </c>
      <c r="BF24" s="9"/>
      <c r="BG24" s="9"/>
      <c r="BH24" s="9"/>
      <c r="BI24" s="9" t="s">
        <v>306</v>
      </c>
      <c r="BJ24" s="9" t="s">
        <v>306</v>
      </c>
      <c r="BK24" s="9" t="s">
        <v>306</v>
      </c>
      <c r="BL24" s="9"/>
      <c r="BM24" s="9"/>
      <c r="BN24" s="9"/>
      <c r="BO24" s="9" t="s">
        <v>576</v>
      </c>
      <c r="BP24" s="9"/>
      <c r="BQ24" s="9" t="s">
        <v>306</v>
      </c>
      <c r="BR24" s="9"/>
      <c r="BS24" s="9"/>
      <c r="BT24" s="9"/>
      <c r="BU24" s="9" t="s">
        <v>306</v>
      </c>
      <c r="BV24" s="9" t="s">
        <v>306</v>
      </c>
      <c r="BW24" s="9"/>
      <c r="BX24" s="9"/>
      <c r="BY24" s="9"/>
      <c r="BZ24" s="9"/>
      <c r="CA24" s="9"/>
      <c r="CB24" s="9" t="s">
        <v>577</v>
      </c>
      <c r="CC24" s="9" t="s">
        <v>306</v>
      </c>
      <c r="CD24" s="9" t="s">
        <v>306</v>
      </c>
      <c r="CE24" s="9"/>
      <c r="CF24" s="9"/>
      <c r="CG24" s="9"/>
      <c r="CH24" s="9"/>
      <c r="CI24" s="9"/>
      <c r="CJ24" s="9" t="s">
        <v>306</v>
      </c>
      <c r="CK24" s="9"/>
      <c r="CL24" s="9" t="s">
        <v>62</v>
      </c>
      <c r="CM24" s="9" t="s">
        <v>62</v>
      </c>
      <c r="CN24" s="9" t="s">
        <v>306</v>
      </c>
      <c r="CO24" s="9" t="s">
        <v>90</v>
      </c>
      <c r="CP24" s="9"/>
      <c r="CQ24" s="9"/>
      <c r="CR24" s="9"/>
      <c r="CS24" s="9"/>
      <c r="CT24" s="9" t="s">
        <v>306</v>
      </c>
      <c r="CU24" s="9"/>
      <c r="CV24" s="9"/>
      <c r="CW24" s="9" t="s">
        <v>99</v>
      </c>
      <c r="CX24" s="9"/>
      <c r="CY24" s="9"/>
      <c r="CZ24" s="9"/>
      <c r="DA24" s="9"/>
      <c r="DB24" s="9"/>
      <c r="DC24" s="9" t="s">
        <v>306</v>
      </c>
      <c r="DD24" s="11">
        <v>530</v>
      </c>
      <c r="DE24" s="11">
        <v>530</v>
      </c>
      <c r="DF24" s="11">
        <v>530</v>
      </c>
      <c r="DG24" s="12">
        <v>18.899999999999999</v>
      </c>
      <c r="DH24" s="9">
        <v>18.899999999999999</v>
      </c>
      <c r="DI24" s="9">
        <v>18.899999999999999</v>
      </c>
      <c r="DJ24" s="9">
        <v>95</v>
      </c>
      <c r="DK24" s="9">
        <v>0</v>
      </c>
      <c r="DL24" s="9">
        <v>0</v>
      </c>
      <c r="DM24" s="9">
        <v>1</v>
      </c>
      <c r="DN24" s="9">
        <v>4</v>
      </c>
      <c r="DO24" s="9">
        <v>47</v>
      </c>
      <c r="DP24" s="9">
        <v>23</v>
      </c>
      <c r="DQ24" s="9" t="s">
        <v>306</v>
      </c>
      <c r="DR24" s="9" t="s">
        <v>306</v>
      </c>
      <c r="DS24" s="9" t="s">
        <v>307</v>
      </c>
      <c r="DT24" s="10">
        <v>0.24657534246575341</v>
      </c>
      <c r="DU24" s="10">
        <v>2</v>
      </c>
      <c r="DV24" s="10">
        <f>DU24+DT24</f>
        <v>2.2465753424657535</v>
      </c>
      <c r="DW24" s="9">
        <v>28</v>
      </c>
      <c r="DX24" s="9">
        <v>7</v>
      </c>
      <c r="DY24" s="9">
        <v>7</v>
      </c>
      <c r="DZ24" s="9">
        <v>4</v>
      </c>
      <c r="EA24" s="9">
        <v>11</v>
      </c>
      <c r="EB24" s="9">
        <v>13</v>
      </c>
      <c r="EC24" s="9">
        <v>0</v>
      </c>
      <c r="ED24" s="9">
        <v>2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100</v>
      </c>
      <c r="EM24" s="9">
        <v>0</v>
      </c>
      <c r="EN24" s="9">
        <v>0</v>
      </c>
      <c r="EO24" s="9">
        <v>50</v>
      </c>
      <c r="EP24" s="9">
        <v>50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 t="s">
        <v>317</v>
      </c>
      <c r="EW24" s="9" t="s">
        <v>306</v>
      </c>
      <c r="EX24" s="9" t="s">
        <v>306</v>
      </c>
      <c r="EY24" s="9" t="s">
        <v>318</v>
      </c>
      <c r="EZ24" s="9" t="s">
        <v>306</v>
      </c>
      <c r="FA24" s="9" t="s">
        <v>306</v>
      </c>
      <c r="FB24" s="9" t="s">
        <v>319</v>
      </c>
      <c r="FC24" s="9">
        <v>2</v>
      </c>
      <c r="FD24" s="9">
        <v>2</v>
      </c>
      <c r="FE24" s="9" t="s">
        <v>377</v>
      </c>
      <c r="FF24" s="9" t="s">
        <v>352</v>
      </c>
      <c r="FG24" s="9" t="s">
        <v>571</v>
      </c>
      <c r="FH24" s="9" t="s">
        <v>306</v>
      </c>
      <c r="FI24" s="9" t="s">
        <v>306</v>
      </c>
      <c r="FJ24" s="9"/>
      <c r="FK24" s="9"/>
      <c r="FL24" s="9"/>
      <c r="FM24" s="9"/>
      <c r="FN24" s="9"/>
      <c r="FO24" s="9"/>
      <c r="FP24" s="9"/>
      <c r="FQ24" s="9" t="s">
        <v>578</v>
      </c>
      <c r="FR24" s="9"/>
      <c r="FS24" s="9"/>
      <c r="FT24" s="9"/>
      <c r="FU24" s="9" t="s">
        <v>306</v>
      </c>
      <c r="FV24" s="9" t="s">
        <v>306</v>
      </c>
      <c r="FW24" s="9" t="s">
        <v>306</v>
      </c>
      <c r="FX24" s="9"/>
      <c r="FY24" s="9"/>
      <c r="FZ24" s="9" t="s">
        <v>378</v>
      </c>
      <c r="GA24" s="9" t="s">
        <v>182</v>
      </c>
      <c r="GB24" s="9"/>
      <c r="GC24" s="9"/>
      <c r="GD24" s="9"/>
      <c r="GE24" s="9"/>
      <c r="GF24" s="9"/>
      <c r="GG24" s="9"/>
      <c r="GH24" s="9" t="s">
        <v>306</v>
      </c>
      <c r="GI24" s="9" t="s">
        <v>325</v>
      </c>
      <c r="GJ24" s="9" t="s">
        <v>306</v>
      </c>
      <c r="GK24" s="9">
        <v>2.16</v>
      </c>
      <c r="GL24" s="9" t="s">
        <v>416</v>
      </c>
      <c r="GM24" s="9" t="s">
        <v>306</v>
      </c>
      <c r="GN24" s="9"/>
      <c r="GO24" s="9"/>
      <c r="GP24" s="9"/>
      <c r="GQ24" s="9"/>
      <c r="GR24" s="9" t="s">
        <v>306</v>
      </c>
      <c r="GS24" s="9">
        <v>12</v>
      </c>
      <c r="GT24" s="9" t="s">
        <v>579</v>
      </c>
      <c r="GU24" s="9"/>
      <c r="GV24" s="9" t="s">
        <v>306</v>
      </c>
      <c r="GW24" s="9"/>
      <c r="GX24" s="9" t="s">
        <v>306</v>
      </c>
      <c r="GY24" s="9"/>
      <c r="GZ24" s="9"/>
      <c r="HA24" s="9" t="s">
        <v>306</v>
      </c>
      <c r="HB24" s="9"/>
      <c r="HC24" s="9"/>
      <c r="HD24" s="9"/>
      <c r="HE24" s="9"/>
      <c r="HF24" s="9" t="s">
        <v>62</v>
      </c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 t="s">
        <v>306</v>
      </c>
      <c r="HR24" s="9">
        <v>0</v>
      </c>
      <c r="HS24" s="9">
        <v>0</v>
      </c>
      <c r="HT24" s="9">
        <v>75</v>
      </c>
      <c r="HU24" s="9">
        <v>0</v>
      </c>
      <c r="HV24" s="9">
        <v>25</v>
      </c>
      <c r="HW24" s="9" t="s">
        <v>568</v>
      </c>
      <c r="HX24" s="9"/>
      <c r="HY24" s="9"/>
      <c r="HZ24" s="9" t="s">
        <v>306</v>
      </c>
      <c r="IA24" s="9"/>
      <c r="IB24" s="9"/>
      <c r="IC24" s="9"/>
      <c r="ID24" s="9"/>
      <c r="IE24" s="9" t="s">
        <v>306</v>
      </c>
      <c r="IF24" s="9"/>
      <c r="IG24" s="9"/>
      <c r="IH24" s="9" t="s">
        <v>330</v>
      </c>
      <c r="II24" s="9" t="s">
        <v>383</v>
      </c>
      <c r="IJ24" s="9" t="s">
        <v>580</v>
      </c>
      <c r="IK24" s="9" t="s">
        <v>306</v>
      </c>
      <c r="IL24" s="9"/>
      <c r="IM24" s="9" t="s">
        <v>306</v>
      </c>
      <c r="IN24" s="9"/>
      <c r="IO24" s="9"/>
      <c r="IP24" s="9"/>
      <c r="IQ24" s="9"/>
      <c r="IR24" s="9"/>
      <c r="IS24" s="9" t="s">
        <v>306</v>
      </c>
      <c r="IT24" s="9" t="s">
        <v>306</v>
      </c>
      <c r="IU24" s="9" t="s">
        <v>385</v>
      </c>
      <c r="IV24" s="9" t="s">
        <v>386</v>
      </c>
      <c r="IW24" s="9" t="s">
        <v>306</v>
      </c>
      <c r="IX24" s="9" t="s">
        <v>306</v>
      </c>
      <c r="IY24" s="9" t="s">
        <v>306</v>
      </c>
      <c r="IZ24" s="9"/>
      <c r="JA24" s="9"/>
      <c r="JB24" s="9">
        <v>6</v>
      </c>
      <c r="JC24" s="9">
        <v>3</v>
      </c>
      <c r="JD24" s="9">
        <v>110</v>
      </c>
      <c r="JE24" s="9">
        <v>19</v>
      </c>
      <c r="JF24" s="9">
        <v>15</v>
      </c>
      <c r="JG24" s="9">
        <v>0</v>
      </c>
      <c r="JH24" s="9">
        <v>0</v>
      </c>
      <c r="JI24" s="9" t="s">
        <v>433</v>
      </c>
      <c r="JJ24" s="9" t="s">
        <v>306</v>
      </c>
      <c r="JK24" s="9" t="s">
        <v>306</v>
      </c>
      <c r="JL24" s="9"/>
      <c r="JM24" s="9" t="s">
        <v>306</v>
      </c>
      <c r="JN24" s="9" t="s">
        <v>306</v>
      </c>
      <c r="JO24" s="9" t="s">
        <v>306</v>
      </c>
      <c r="JP24" s="9" t="s">
        <v>306</v>
      </c>
      <c r="JQ24" s="9" t="s">
        <v>306</v>
      </c>
      <c r="JR24" s="9" t="s">
        <v>306</v>
      </c>
      <c r="JS24" s="9" t="s">
        <v>306</v>
      </c>
      <c r="JT24" s="9" t="s">
        <v>336</v>
      </c>
      <c r="JU24" s="9" t="s">
        <v>306</v>
      </c>
      <c r="JV24" s="9" t="s">
        <v>306</v>
      </c>
      <c r="JW24" s="9" t="s">
        <v>306</v>
      </c>
      <c r="JX24" s="9" t="s">
        <v>306</v>
      </c>
      <c r="JY24" s="9"/>
      <c r="JZ24" s="9" t="s">
        <v>306</v>
      </c>
      <c r="KA24" s="9" t="s">
        <v>306</v>
      </c>
      <c r="KB24" s="9" t="s">
        <v>534</v>
      </c>
      <c r="KC24" s="9" t="s">
        <v>306</v>
      </c>
      <c r="KD24" s="9" t="s">
        <v>306</v>
      </c>
      <c r="KE24" s="9" t="s">
        <v>306</v>
      </c>
      <c r="KF24" s="9"/>
      <c r="KG24" s="9" t="s">
        <v>337</v>
      </c>
      <c r="KH24" s="9" t="s">
        <v>338</v>
      </c>
      <c r="KI24" s="9" t="s">
        <v>339</v>
      </c>
      <c r="KJ24" s="9" t="s">
        <v>306</v>
      </c>
      <c r="KK24" s="9" t="s">
        <v>435</v>
      </c>
      <c r="KL24" s="9" t="s">
        <v>306</v>
      </c>
      <c r="KM24" s="9" t="s">
        <v>306</v>
      </c>
      <c r="KN24" s="9"/>
      <c r="KO24" s="9" t="s">
        <v>306</v>
      </c>
      <c r="KP24" s="9"/>
      <c r="KQ24" s="9"/>
      <c r="KR24" s="9"/>
      <c r="KS24" s="9"/>
      <c r="KT24" s="9"/>
      <c r="KU24" s="9">
        <v>8</v>
      </c>
      <c r="KV24" s="9">
        <v>2.4500000000000002</v>
      </c>
      <c r="KW24" s="9">
        <v>2.2999999999999998</v>
      </c>
      <c r="KX24" s="9">
        <v>2.7</v>
      </c>
      <c r="KY24" s="9" t="s">
        <v>500</v>
      </c>
      <c r="KZ24" s="9" t="s">
        <v>306</v>
      </c>
      <c r="LA24" s="9" t="s">
        <v>306</v>
      </c>
      <c r="LB24" s="9" t="s">
        <v>306</v>
      </c>
      <c r="LC24" s="9"/>
      <c r="LD24" s="9"/>
      <c r="LE24" s="9"/>
      <c r="LF24" s="9"/>
      <c r="LG24" s="9" t="s">
        <v>454</v>
      </c>
      <c r="LH24" s="9" t="s">
        <v>341</v>
      </c>
      <c r="LI24" s="9" t="s">
        <v>341</v>
      </c>
      <c r="LJ24" s="9" t="s">
        <v>307</v>
      </c>
      <c r="LK24" s="9" t="s">
        <v>342</v>
      </c>
    </row>
    <row r="25" spans="1:323" x14ac:dyDescent="0.3">
      <c r="A25" s="8"/>
      <c r="B25" s="9" t="s">
        <v>424</v>
      </c>
      <c r="C25" s="9" t="s">
        <v>367</v>
      </c>
      <c r="D25" s="9" t="s">
        <v>632</v>
      </c>
      <c r="E25" s="9" t="s">
        <v>301</v>
      </c>
      <c r="F25" s="9" t="s">
        <v>368</v>
      </c>
      <c r="G25" s="9" t="s">
        <v>304</v>
      </c>
      <c r="H25" s="9" t="s">
        <v>369</v>
      </c>
      <c r="I25" s="9" t="s">
        <v>304</v>
      </c>
      <c r="J25" s="9" t="s">
        <v>478</v>
      </c>
      <c r="K25" s="9" t="s">
        <v>306</v>
      </c>
      <c r="L25" s="9" t="s">
        <v>306</v>
      </c>
      <c r="M25" s="9" t="s">
        <v>306</v>
      </c>
      <c r="N25" s="9" t="s">
        <v>306</v>
      </c>
      <c r="O25" s="9" t="s">
        <v>306</v>
      </c>
      <c r="P25" s="9"/>
      <c r="Q25" s="9"/>
      <c r="R25" s="9"/>
      <c r="S25" s="9">
        <v>59</v>
      </c>
      <c r="T25" s="9">
        <v>16</v>
      </c>
      <c r="U25" s="9" t="s">
        <v>308</v>
      </c>
      <c r="V25" s="9" t="s">
        <v>455</v>
      </c>
      <c r="W25" s="9" t="s">
        <v>346</v>
      </c>
      <c r="X25" s="10">
        <v>100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10</v>
      </c>
      <c r="AE25" s="10">
        <v>90</v>
      </c>
      <c r="AF25" s="10">
        <v>0</v>
      </c>
      <c r="AG25" s="10">
        <v>0</v>
      </c>
      <c r="AH25" s="10">
        <v>0</v>
      </c>
      <c r="AI25" s="9" t="s">
        <v>306</v>
      </c>
      <c r="AJ25" s="9">
        <v>80</v>
      </c>
      <c r="AK25" s="9">
        <v>0</v>
      </c>
      <c r="AL25" s="9">
        <v>0</v>
      </c>
      <c r="AM25" s="9">
        <v>0</v>
      </c>
      <c r="AN25" s="9">
        <v>20</v>
      </c>
      <c r="AO25" s="9"/>
      <c r="AP25" s="9"/>
      <c r="AQ25" s="9"/>
      <c r="AR25" s="9" t="s">
        <v>50</v>
      </c>
      <c r="AS25" s="9"/>
      <c r="AT25" s="9"/>
      <c r="AU25" s="9"/>
      <c r="AV25" s="9"/>
      <c r="AW25" s="9"/>
      <c r="AX25" s="9"/>
      <c r="AY25" s="9"/>
      <c r="AZ25" s="9"/>
      <c r="BA25" s="9"/>
      <c r="BB25" s="9" t="s">
        <v>306</v>
      </c>
      <c r="BC25" s="9" t="s">
        <v>400</v>
      </c>
      <c r="BD25" s="9" t="s">
        <v>307</v>
      </c>
      <c r="BE25" s="9" t="s">
        <v>436</v>
      </c>
      <c r="BF25" s="9" t="s">
        <v>306</v>
      </c>
      <c r="BG25" s="9"/>
      <c r="BH25" s="9"/>
      <c r="BI25" s="9" t="s">
        <v>306</v>
      </c>
      <c r="BJ25" s="9"/>
      <c r="BK25" s="9"/>
      <c r="BL25" s="9"/>
      <c r="BM25" s="9"/>
      <c r="BN25" s="9"/>
      <c r="BO25" s="9" t="s">
        <v>581</v>
      </c>
      <c r="BP25" s="9" t="s">
        <v>306</v>
      </c>
      <c r="BQ25" s="9"/>
      <c r="BR25" s="9"/>
      <c r="BS25" s="9"/>
      <c r="BT25" s="9"/>
      <c r="BU25" s="9" t="s">
        <v>306</v>
      </c>
      <c r="BV25" s="9"/>
      <c r="BW25" s="9"/>
      <c r="BX25" s="9" t="s">
        <v>306</v>
      </c>
      <c r="BY25" s="9"/>
      <c r="BZ25" s="9"/>
      <c r="CA25" s="9"/>
      <c r="CB25" s="9" t="s">
        <v>582</v>
      </c>
      <c r="CC25" s="9"/>
      <c r="CD25" s="9" t="s">
        <v>306</v>
      </c>
      <c r="CE25" s="9" t="s">
        <v>306</v>
      </c>
      <c r="CF25" s="9"/>
      <c r="CG25" s="9" t="s">
        <v>306</v>
      </c>
      <c r="CH25" s="9"/>
      <c r="CI25" s="9"/>
      <c r="CJ25" s="9"/>
      <c r="CK25" s="9"/>
      <c r="CL25" s="9" t="s">
        <v>314</v>
      </c>
      <c r="CM25" s="9" t="s">
        <v>315</v>
      </c>
      <c r="CN25" s="9" t="s">
        <v>306</v>
      </c>
      <c r="CO25" s="9" t="s">
        <v>43</v>
      </c>
      <c r="CP25" s="9" t="s">
        <v>306</v>
      </c>
      <c r="CQ25" s="9"/>
      <c r="CR25" s="9"/>
      <c r="CS25" s="9"/>
      <c r="CT25" s="9"/>
      <c r="CU25" s="9"/>
      <c r="CV25" s="9"/>
      <c r="CW25" s="9" t="s">
        <v>99</v>
      </c>
      <c r="CX25" s="9"/>
      <c r="CY25" s="9"/>
      <c r="CZ25" s="9"/>
      <c r="DA25" s="9"/>
      <c r="DB25" s="9"/>
      <c r="DC25" s="9" t="s">
        <v>306</v>
      </c>
      <c r="DD25" s="11">
        <v>450</v>
      </c>
      <c r="DE25" s="11">
        <v>450</v>
      </c>
      <c r="DF25" s="11">
        <v>450</v>
      </c>
      <c r="DG25" s="12">
        <v>15</v>
      </c>
      <c r="DH25" s="9">
        <v>15</v>
      </c>
      <c r="DI25" s="9">
        <v>15</v>
      </c>
      <c r="DJ25" s="9">
        <v>100</v>
      </c>
      <c r="DK25" s="9">
        <v>0</v>
      </c>
      <c r="DL25" s="9">
        <v>0</v>
      </c>
      <c r="DM25" s="9">
        <v>0</v>
      </c>
      <c r="DN25" s="9">
        <v>0</v>
      </c>
      <c r="DO25" s="9">
        <v>65</v>
      </c>
      <c r="DP25" s="9">
        <v>49</v>
      </c>
      <c r="DQ25" s="9" t="s">
        <v>306</v>
      </c>
      <c r="DR25" s="9" t="s">
        <v>306</v>
      </c>
      <c r="DS25" s="9" t="s">
        <v>306</v>
      </c>
      <c r="DT25" s="10">
        <v>3.4273972602739726</v>
      </c>
      <c r="DU25" s="10">
        <v>1</v>
      </c>
      <c r="DV25" s="10">
        <f t="shared" ref="DV25:DV31" si="1">DU25+DT25</f>
        <v>4.4273972602739722</v>
      </c>
      <c r="DW25" s="9">
        <v>32</v>
      </c>
      <c r="DX25" s="9">
        <v>16</v>
      </c>
      <c r="DY25" s="9">
        <v>4</v>
      </c>
      <c r="DZ25" s="9">
        <v>1</v>
      </c>
      <c r="EA25" s="9">
        <v>44</v>
      </c>
      <c r="EB25" s="9">
        <v>4</v>
      </c>
      <c r="EC25" s="9">
        <v>0</v>
      </c>
      <c r="ED25" s="9">
        <v>1</v>
      </c>
      <c r="EE25" s="9">
        <v>1</v>
      </c>
      <c r="EF25" s="9">
        <v>0</v>
      </c>
      <c r="EG25" s="9">
        <v>0</v>
      </c>
      <c r="EH25" s="9">
        <v>0</v>
      </c>
      <c r="EI25" s="9">
        <v>25</v>
      </c>
      <c r="EJ25" s="9">
        <v>25</v>
      </c>
      <c r="EK25" s="9">
        <v>0</v>
      </c>
      <c r="EL25" s="9">
        <v>50</v>
      </c>
      <c r="EM25" s="9">
        <v>0</v>
      </c>
      <c r="EN25" s="9">
        <v>0</v>
      </c>
      <c r="EO25" s="9">
        <v>50</v>
      </c>
      <c r="EP25" s="9">
        <v>50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 t="s">
        <v>317</v>
      </c>
      <c r="EW25" s="9" t="s">
        <v>306</v>
      </c>
      <c r="EX25" s="9" t="s">
        <v>306</v>
      </c>
      <c r="EY25" s="9" t="s">
        <v>318</v>
      </c>
      <c r="EZ25" s="9" t="s">
        <v>306</v>
      </c>
      <c r="FA25" s="9" t="s">
        <v>306</v>
      </c>
      <c r="FB25" s="9" t="s">
        <v>319</v>
      </c>
      <c r="FC25" s="9">
        <v>2</v>
      </c>
      <c r="FD25" s="9">
        <v>2</v>
      </c>
      <c r="FE25" s="9" t="s">
        <v>377</v>
      </c>
      <c r="FF25" s="9" t="s">
        <v>321</v>
      </c>
      <c r="FG25" s="9" t="s">
        <v>492</v>
      </c>
      <c r="FH25" s="9" t="s">
        <v>306</v>
      </c>
      <c r="FI25" s="9"/>
      <c r="FJ25" s="9" t="s">
        <v>306</v>
      </c>
      <c r="FK25" s="9"/>
      <c r="FL25" s="9"/>
      <c r="FM25" s="9"/>
      <c r="FN25" s="9"/>
      <c r="FO25" s="9"/>
      <c r="FP25" s="9"/>
      <c r="FQ25" s="9" t="s">
        <v>583</v>
      </c>
      <c r="FR25" s="9"/>
      <c r="FS25" s="9"/>
      <c r="FT25" s="9"/>
      <c r="FU25" s="9"/>
      <c r="FV25" s="9" t="s">
        <v>306</v>
      </c>
      <c r="FW25" s="9"/>
      <c r="FX25" s="9"/>
      <c r="FY25" s="9"/>
      <c r="FZ25" s="9" t="s">
        <v>323</v>
      </c>
      <c r="GA25" s="9" t="s">
        <v>483</v>
      </c>
      <c r="GB25" s="9" t="s">
        <v>306</v>
      </c>
      <c r="GC25" s="9" t="s">
        <v>306</v>
      </c>
      <c r="GD25" s="9"/>
      <c r="GE25" s="9"/>
      <c r="GF25" s="9" t="s">
        <v>306</v>
      </c>
      <c r="GG25" s="9"/>
      <c r="GH25" s="9"/>
      <c r="GI25" s="9" t="s">
        <v>440</v>
      </c>
      <c r="GJ25" s="9" t="s">
        <v>307</v>
      </c>
      <c r="GK25" s="9"/>
      <c r="GL25" s="9" t="s">
        <v>326</v>
      </c>
      <c r="GM25" s="9" t="s">
        <v>306</v>
      </c>
      <c r="GN25" s="9"/>
      <c r="GO25" s="9" t="s">
        <v>306</v>
      </c>
      <c r="GP25" s="9"/>
      <c r="GQ25" s="9"/>
      <c r="GR25" s="9" t="s">
        <v>306</v>
      </c>
      <c r="GS25" s="9">
        <v>24</v>
      </c>
      <c r="GT25" s="9" t="s">
        <v>584</v>
      </c>
      <c r="GU25" s="9"/>
      <c r="GV25" s="9"/>
      <c r="GW25" s="9"/>
      <c r="GX25" s="9" t="s">
        <v>306</v>
      </c>
      <c r="GY25" s="9" t="s">
        <v>306</v>
      </c>
      <c r="GZ25" s="9" t="s">
        <v>306</v>
      </c>
      <c r="HA25" s="9"/>
      <c r="HB25" s="9"/>
      <c r="HC25" s="9"/>
      <c r="HD25" s="9"/>
      <c r="HE25" s="9"/>
      <c r="HF25" s="9" t="s">
        <v>585</v>
      </c>
      <c r="HG25" s="9" t="s">
        <v>306</v>
      </c>
      <c r="HH25" s="9"/>
      <c r="HI25" s="9"/>
      <c r="HJ25" s="9"/>
      <c r="HK25" s="9"/>
      <c r="HL25" s="9"/>
      <c r="HM25" s="9" t="s">
        <v>306</v>
      </c>
      <c r="HN25" s="9" t="s">
        <v>306</v>
      </c>
      <c r="HO25" s="9"/>
      <c r="HP25" s="9"/>
      <c r="HQ25" s="9"/>
      <c r="HR25" s="9">
        <v>0</v>
      </c>
      <c r="HS25" s="9">
        <v>0</v>
      </c>
      <c r="HT25" s="9">
        <v>100</v>
      </c>
      <c r="HU25" s="9">
        <v>0</v>
      </c>
      <c r="HV25" s="9">
        <v>0</v>
      </c>
      <c r="HW25" s="9" t="s">
        <v>568</v>
      </c>
      <c r="HX25" s="9"/>
      <c r="HY25" s="9"/>
      <c r="HZ25" s="9" t="s">
        <v>306</v>
      </c>
      <c r="IA25" s="9"/>
      <c r="IB25" s="9"/>
      <c r="IC25" s="9"/>
      <c r="ID25" s="9"/>
      <c r="IE25" s="9" t="s">
        <v>306</v>
      </c>
      <c r="IF25" s="9"/>
      <c r="IG25" s="9"/>
      <c r="IH25" s="9" t="s">
        <v>330</v>
      </c>
      <c r="II25" s="9" t="s">
        <v>383</v>
      </c>
      <c r="IJ25" s="9" t="s">
        <v>586</v>
      </c>
      <c r="IK25" s="9" t="s">
        <v>306</v>
      </c>
      <c r="IL25" s="9"/>
      <c r="IM25" s="9" t="s">
        <v>306</v>
      </c>
      <c r="IN25" s="9" t="s">
        <v>306</v>
      </c>
      <c r="IO25" s="9" t="s">
        <v>306</v>
      </c>
      <c r="IP25" s="9" t="s">
        <v>306</v>
      </c>
      <c r="IQ25" s="9" t="s">
        <v>306</v>
      </c>
      <c r="IR25" s="9" t="s">
        <v>306</v>
      </c>
      <c r="IS25" s="9" t="s">
        <v>306</v>
      </c>
      <c r="IT25" s="9" t="s">
        <v>306</v>
      </c>
      <c r="IU25" s="9" t="s">
        <v>333</v>
      </c>
      <c r="IV25" s="9" t="s">
        <v>450</v>
      </c>
      <c r="IW25" s="9" t="s">
        <v>306</v>
      </c>
      <c r="IX25" s="9" t="s">
        <v>306</v>
      </c>
      <c r="IY25" s="9"/>
      <c r="IZ25" s="9"/>
      <c r="JA25" s="9"/>
      <c r="JB25" s="9">
        <v>3</v>
      </c>
      <c r="JC25" s="9">
        <v>3</v>
      </c>
      <c r="JD25" s="9">
        <v>90</v>
      </c>
      <c r="JE25" s="9">
        <v>30</v>
      </c>
      <c r="JF25" s="9">
        <v>15</v>
      </c>
      <c r="JG25" s="9">
        <v>12</v>
      </c>
      <c r="JH25" s="9">
        <v>1</v>
      </c>
      <c r="JI25" s="9" t="s">
        <v>556</v>
      </c>
      <c r="JJ25" s="9" t="s">
        <v>306</v>
      </c>
      <c r="JK25" s="9" t="s">
        <v>306</v>
      </c>
      <c r="JL25" s="9"/>
      <c r="JM25" s="9" t="s">
        <v>306</v>
      </c>
      <c r="JN25" s="9"/>
      <c r="JO25" s="9" t="s">
        <v>306</v>
      </c>
      <c r="JP25" s="9" t="s">
        <v>306</v>
      </c>
      <c r="JQ25" s="9" t="s">
        <v>306</v>
      </c>
      <c r="JR25" s="9" t="s">
        <v>306</v>
      </c>
      <c r="JS25" s="9" t="s">
        <v>306</v>
      </c>
      <c r="JT25" s="9" t="s">
        <v>336</v>
      </c>
      <c r="JU25" s="9" t="s">
        <v>306</v>
      </c>
      <c r="JV25" s="9" t="s">
        <v>306</v>
      </c>
      <c r="JW25" s="9" t="s">
        <v>306</v>
      </c>
      <c r="JX25" s="9" t="s">
        <v>306</v>
      </c>
      <c r="JY25" s="9"/>
      <c r="JZ25" s="9" t="s">
        <v>306</v>
      </c>
      <c r="KA25" s="9" t="s">
        <v>306</v>
      </c>
      <c r="KB25" s="9" t="s">
        <v>534</v>
      </c>
      <c r="KC25" s="9" t="s">
        <v>306</v>
      </c>
      <c r="KD25" s="9" t="s">
        <v>306</v>
      </c>
      <c r="KE25" s="9" t="s">
        <v>306</v>
      </c>
      <c r="KF25" s="9"/>
      <c r="KG25" s="9" t="s">
        <v>337</v>
      </c>
      <c r="KH25" s="9" t="s">
        <v>364</v>
      </c>
      <c r="KI25" s="9" t="s">
        <v>339</v>
      </c>
      <c r="KJ25" s="9" t="s">
        <v>306</v>
      </c>
      <c r="KK25" s="9" t="s">
        <v>587</v>
      </c>
      <c r="KL25" s="9"/>
      <c r="KM25" s="9" t="s">
        <v>306</v>
      </c>
      <c r="KN25" s="9" t="s">
        <v>306</v>
      </c>
      <c r="KO25" s="9" t="s">
        <v>306</v>
      </c>
      <c r="KP25" s="9"/>
      <c r="KQ25" s="9"/>
      <c r="KR25" s="9"/>
      <c r="KS25" s="9"/>
      <c r="KT25" s="9"/>
      <c r="KU25" s="9">
        <v>5</v>
      </c>
      <c r="KV25" s="9">
        <v>2.6</v>
      </c>
      <c r="KW25" s="9">
        <v>2.57</v>
      </c>
      <c r="KX25" s="9">
        <v>2.79</v>
      </c>
      <c r="KY25" s="9" t="s">
        <v>397</v>
      </c>
      <c r="KZ25" s="9"/>
      <c r="LA25" s="9" t="s">
        <v>306</v>
      </c>
      <c r="LB25" s="9" t="s">
        <v>306</v>
      </c>
      <c r="LC25" s="9" t="s">
        <v>306</v>
      </c>
      <c r="LD25" s="9" t="s">
        <v>306</v>
      </c>
      <c r="LE25" s="9"/>
      <c r="LF25" s="9"/>
      <c r="LG25" s="9" t="s">
        <v>341</v>
      </c>
      <c r="LH25" s="9" t="s">
        <v>341</v>
      </c>
      <c r="LI25" s="9" t="s">
        <v>454</v>
      </c>
      <c r="LJ25" s="9" t="s">
        <v>306</v>
      </c>
      <c r="LK25" s="9" t="s">
        <v>342</v>
      </c>
    </row>
    <row r="26" spans="1:323" x14ac:dyDescent="0.3">
      <c r="A26" s="8"/>
      <c r="B26" s="9" t="s">
        <v>300</v>
      </c>
      <c r="C26" s="9" t="s">
        <v>302</v>
      </c>
      <c r="D26" s="9" t="s">
        <v>634</v>
      </c>
      <c r="E26" s="9" t="s">
        <v>301</v>
      </c>
      <c r="F26" s="9" t="s">
        <v>303</v>
      </c>
      <c r="G26" s="9" t="s">
        <v>304</v>
      </c>
      <c r="H26" s="9" t="s">
        <v>304</v>
      </c>
      <c r="I26" s="9" t="s">
        <v>304</v>
      </c>
      <c r="J26" s="9" t="s">
        <v>478</v>
      </c>
      <c r="K26" s="9" t="s">
        <v>306</v>
      </c>
      <c r="L26" s="9" t="s">
        <v>306</v>
      </c>
      <c r="M26" s="9" t="s">
        <v>306</v>
      </c>
      <c r="N26" s="9" t="s">
        <v>306</v>
      </c>
      <c r="O26" s="9" t="s">
        <v>306</v>
      </c>
      <c r="P26" s="9"/>
      <c r="Q26" s="9"/>
      <c r="R26" s="9"/>
      <c r="S26" s="9">
        <v>71</v>
      </c>
      <c r="T26" s="9">
        <v>28</v>
      </c>
      <c r="U26" s="9" t="s">
        <v>308</v>
      </c>
      <c r="V26" s="9" t="s">
        <v>372</v>
      </c>
      <c r="W26" s="9" t="s">
        <v>310</v>
      </c>
      <c r="X26" s="10">
        <v>100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100</v>
      </c>
      <c r="AF26" s="10">
        <v>0</v>
      </c>
      <c r="AG26" s="10">
        <v>0</v>
      </c>
      <c r="AH26" s="10">
        <v>0</v>
      </c>
      <c r="AI26" s="9" t="s">
        <v>307</v>
      </c>
      <c r="AJ26" s="9">
        <v>13</v>
      </c>
      <c r="AK26" s="9">
        <v>2</v>
      </c>
      <c r="AL26" s="9">
        <v>18</v>
      </c>
      <c r="AM26" s="9">
        <v>2</v>
      </c>
      <c r="AN26" s="9">
        <v>65</v>
      </c>
      <c r="AO26" s="9"/>
      <c r="AP26" s="9"/>
      <c r="AQ26" s="9"/>
      <c r="AR26" s="9" t="s">
        <v>50</v>
      </c>
      <c r="AS26" s="9"/>
      <c r="AT26" s="9"/>
      <c r="AU26" s="9"/>
      <c r="AV26" s="9"/>
      <c r="AW26" s="9"/>
      <c r="AX26" s="9"/>
      <c r="AY26" s="9"/>
      <c r="AZ26" s="9"/>
      <c r="BA26" s="9"/>
      <c r="BB26" s="9" t="s">
        <v>306</v>
      </c>
      <c r="BC26" s="9" t="s">
        <v>400</v>
      </c>
      <c r="BD26" s="9" t="s">
        <v>306</v>
      </c>
      <c r="BE26" s="9" t="s">
        <v>588</v>
      </c>
      <c r="BF26" s="9" t="s">
        <v>306</v>
      </c>
      <c r="BG26" s="9" t="s">
        <v>306</v>
      </c>
      <c r="BH26" s="9"/>
      <c r="BI26" s="9"/>
      <c r="BJ26" s="9" t="s">
        <v>306</v>
      </c>
      <c r="BK26" s="9"/>
      <c r="BL26" s="9"/>
      <c r="BM26" s="9"/>
      <c r="BN26" s="9"/>
      <c r="BO26" s="9" t="s">
        <v>589</v>
      </c>
      <c r="BP26" s="9" t="s">
        <v>306</v>
      </c>
      <c r="BQ26" s="9" t="s">
        <v>306</v>
      </c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 t="s">
        <v>504</v>
      </c>
      <c r="CC26" s="9"/>
      <c r="CD26" s="9" t="s">
        <v>306</v>
      </c>
      <c r="CE26" s="9"/>
      <c r="CF26" s="9" t="s">
        <v>306</v>
      </c>
      <c r="CG26" s="9" t="s">
        <v>306</v>
      </c>
      <c r="CH26" s="9"/>
      <c r="CI26" s="9"/>
      <c r="CJ26" s="9"/>
      <c r="CK26" s="9"/>
      <c r="CL26" s="9" t="s">
        <v>314</v>
      </c>
      <c r="CM26" s="9" t="s">
        <v>315</v>
      </c>
      <c r="CN26" s="9" t="s">
        <v>306</v>
      </c>
      <c r="CO26" s="9" t="s">
        <v>89</v>
      </c>
      <c r="CP26" s="9"/>
      <c r="CQ26" s="9"/>
      <c r="CR26" s="9"/>
      <c r="CS26" s="9" t="s">
        <v>306</v>
      </c>
      <c r="CT26" s="9"/>
      <c r="CU26" s="9"/>
      <c r="CV26" s="9"/>
      <c r="CW26" s="9" t="s">
        <v>99</v>
      </c>
      <c r="CX26" s="9"/>
      <c r="CY26" s="9"/>
      <c r="CZ26" s="9"/>
      <c r="DA26" s="9"/>
      <c r="DB26" s="9"/>
      <c r="DC26" s="9" t="s">
        <v>306</v>
      </c>
      <c r="DD26" s="11">
        <v>6500</v>
      </c>
      <c r="DE26" s="11">
        <v>6500</v>
      </c>
      <c r="DF26" s="11">
        <v>6500</v>
      </c>
      <c r="DG26" s="12">
        <v>30</v>
      </c>
      <c r="DH26" s="9">
        <v>30</v>
      </c>
      <c r="DI26" s="9">
        <v>30</v>
      </c>
      <c r="DJ26" s="9">
        <v>99</v>
      </c>
      <c r="DK26" s="9">
        <v>0</v>
      </c>
      <c r="DL26" s="9">
        <v>0</v>
      </c>
      <c r="DM26" s="9">
        <v>0.5</v>
      </c>
      <c r="DN26" s="9">
        <v>0.5</v>
      </c>
      <c r="DO26" s="9">
        <v>170</v>
      </c>
      <c r="DP26" s="9">
        <v>120</v>
      </c>
      <c r="DQ26" s="9" t="s">
        <v>306</v>
      </c>
      <c r="DR26" s="9" t="s">
        <v>306</v>
      </c>
      <c r="DS26" s="9" t="s">
        <v>306</v>
      </c>
      <c r="DT26" s="10">
        <v>0.27123287671232876</v>
      </c>
      <c r="DU26" s="10">
        <v>9</v>
      </c>
      <c r="DV26" s="10">
        <f t="shared" si="1"/>
        <v>9.2712328767123289</v>
      </c>
      <c r="DW26" s="9">
        <v>244</v>
      </c>
      <c r="DX26" s="9">
        <v>34</v>
      </c>
      <c r="DY26" s="9">
        <v>19</v>
      </c>
      <c r="DZ26" s="9">
        <v>6</v>
      </c>
      <c r="EA26" s="9">
        <v>67</v>
      </c>
      <c r="EB26" s="9">
        <v>97</v>
      </c>
      <c r="EC26" s="9">
        <v>0</v>
      </c>
      <c r="ED26" s="9">
        <v>0</v>
      </c>
      <c r="EE26" s="9">
        <v>1</v>
      </c>
      <c r="EF26" s="9">
        <v>0</v>
      </c>
      <c r="EG26" s="9">
        <v>0</v>
      </c>
      <c r="EH26" s="9">
        <v>0</v>
      </c>
      <c r="EI26" s="9">
        <v>0</v>
      </c>
      <c r="EJ26" s="9">
        <v>100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15</v>
      </c>
      <c r="EQ26" s="9">
        <v>85</v>
      </c>
      <c r="ER26" s="9">
        <v>0</v>
      </c>
      <c r="ES26" s="9">
        <v>0</v>
      </c>
      <c r="ET26" s="9">
        <v>0</v>
      </c>
      <c r="EU26" s="9">
        <v>0</v>
      </c>
      <c r="EV26" s="9" t="s">
        <v>317</v>
      </c>
      <c r="EW26" s="9" t="s">
        <v>306</v>
      </c>
      <c r="EX26" s="9" t="s">
        <v>306</v>
      </c>
      <c r="EY26" s="9" t="s">
        <v>318</v>
      </c>
      <c r="EZ26" s="9" t="s">
        <v>306</v>
      </c>
      <c r="FA26" s="9" t="s">
        <v>306</v>
      </c>
      <c r="FB26" s="9" t="s">
        <v>319</v>
      </c>
      <c r="FC26" s="9">
        <v>2</v>
      </c>
      <c r="FD26" s="9">
        <v>2</v>
      </c>
      <c r="FE26" s="9" t="s">
        <v>320</v>
      </c>
      <c r="FF26" s="9" t="s">
        <v>352</v>
      </c>
      <c r="FG26" s="9" t="s">
        <v>156</v>
      </c>
      <c r="FH26" s="9" t="s">
        <v>306</v>
      </c>
      <c r="FI26" s="9"/>
      <c r="FJ26" s="9"/>
      <c r="FK26" s="9"/>
      <c r="FL26" s="9"/>
      <c r="FM26" s="9"/>
      <c r="FN26" s="9"/>
      <c r="FO26" s="9"/>
      <c r="FP26" s="9"/>
      <c r="FQ26" s="9" t="s">
        <v>170</v>
      </c>
      <c r="FR26" s="9"/>
      <c r="FS26" s="9"/>
      <c r="FT26" s="9"/>
      <c r="FU26" s="9"/>
      <c r="FV26" s="9" t="s">
        <v>306</v>
      </c>
      <c r="FW26" s="9"/>
      <c r="FX26" s="9"/>
      <c r="FY26" s="9"/>
      <c r="FZ26" s="9" t="s">
        <v>323</v>
      </c>
      <c r="GA26" s="9" t="s">
        <v>182</v>
      </c>
      <c r="GB26" s="9"/>
      <c r="GC26" s="9"/>
      <c r="GD26" s="9"/>
      <c r="GE26" s="9"/>
      <c r="GF26" s="9"/>
      <c r="GG26" s="9"/>
      <c r="GH26" s="9" t="s">
        <v>306</v>
      </c>
      <c r="GI26" s="9" t="s">
        <v>325</v>
      </c>
      <c r="GJ26" s="9" t="s">
        <v>306</v>
      </c>
      <c r="GK26" s="9">
        <v>2.16</v>
      </c>
      <c r="GL26" s="9" t="s">
        <v>326</v>
      </c>
      <c r="GM26" s="9" t="s">
        <v>306</v>
      </c>
      <c r="GN26" s="9"/>
      <c r="GO26" s="9" t="s">
        <v>306</v>
      </c>
      <c r="GP26" s="9"/>
      <c r="GQ26" s="9"/>
      <c r="GR26" s="9" t="s">
        <v>306</v>
      </c>
      <c r="GS26" s="9">
        <v>72</v>
      </c>
      <c r="GT26" s="9" t="s">
        <v>542</v>
      </c>
      <c r="GU26" s="9"/>
      <c r="GV26" s="9"/>
      <c r="GW26" s="9"/>
      <c r="GX26" s="9" t="s">
        <v>306</v>
      </c>
      <c r="GY26" s="9" t="s">
        <v>306</v>
      </c>
      <c r="GZ26" s="9"/>
      <c r="HA26" s="9" t="s">
        <v>306</v>
      </c>
      <c r="HB26" s="9"/>
      <c r="HC26" s="9"/>
      <c r="HD26" s="9"/>
      <c r="HE26" s="9"/>
      <c r="HF26" s="9" t="s">
        <v>590</v>
      </c>
      <c r="HG26" s="9"/>
      <c r="HH26" s="9" t="s">
        <v>306</v>
      </c>
      <c r="HI26" s="9" t="s">
        <v>306</v>
      </c>
      <c r="HJ26" s="9"/>
      <c r="HK26" s="9"/>
      <c r="HL26" s="9"/>
      <c r="HM26" s="9"/>
      <c r="HN26" s="9"/>
      <c r="HO26" s="9"/>
      <c r="HP26" s="9" t="s">
        <v>306</v>
      </c>
      <c r="HQ26" s="9"/>
      <c r="HR26" s="9">
        <v>0</v>
      </c>
      <c r="HS26" s="9">
        <v>100</v>
      </c>
      <c r="HT26" s="9">
        <v>0</v>
      </c>
      <c r="HU26" s="9">
        <v>0</v>
      </c>
      <c r="HV26" s="9">
        <v>0</v>
      </c>
      <c r="HW26" s="9" t="s">
        <v>591</v>
      </c>
      <c r="HX26" s="9" t="s">
        <v>306</v>
      </c>
      <c r="HY26" s="9"/>
      <c r="HZ26" s="9"/>
      <c r="IA26" s="9"/>
      <c r="IB26" s="9" t="s">
        <v>306</v>
      </c>
      <c r="IC26" s="9"/>
      <c r="ID26" s="9"/>
      <c r="IE26" s="9" t="s">
        <v>306</v>
      </c>
      <c r="IF26" s="9"/>
      <c r="IG26" s="9" t="s">
        <v>306</v>
      </c>
      <c r="IH26" s="9" t="s">
        <v>330</v>
      </c>
      <c r="II26" s="9" t="s">
        <v>331</v>
      </c>
      <c r="IJ26" s="9" t="s">
        <v>360</v>
      </c>
      <c r="IK26" s="9"/>
      <c r="IL26" s="9"/>
      <c r="IM26" s="9" t="s">
        <v>306</v>
      </c>
      <c r="IN26" s="9" t="s">
        <v>306</v>
      </c>
      <c r="IO26" s="9" t="s">
        <v>306</v>
      </c>
      <c r="IP26" s="9" t="s">
        <v>306</v>
      </c>
      <c r="IQ26" s="9"/>
      <c r="IR26" s="9" t="s">
        <v>306</v>
      </c>
      <c r="IS26" s="9" t="s">
        <v>306</v>
      </c>
      <c r="IT26" s="9" t="s">
        <v>306</v>
      </c>
      <c r="IU26" s="9" t="s">
        <v>385</v>
      </c>
      <c r="IV26" s="9" t="s">
        <v>386</v>
      </c>
      <c r="IW26" s="9" t="s">
        <v>306</v>
      </c>
      <c r="IX26" s="9" t="s">
        <v>306</v>
      </c>
      <c r="IY26" s="9" t="s">
        <v>306</v>
      </c>
      <c r="IZ26" s="9"/>
      <c r="JA26" s="9"/>
      <c r="JB26" s="9">
        <v>18</v>
      </c>
      <c r="JC26" s="9">
        <v>2.5</v>
      </c>
      <c r="JD26" s="9">
        <v>100</v>
      </c>
      <c r="JE26" s="9">
        <v>29</v>
      </c>
      <c r="JF26" s="9">
        <v>15</v>
      </c>
      <c r="JG26" s="9">
        <v>9.4</v>
      </c>
      <c r="JH26" s="9">
        <v>11.5</v>
      </c>
      <c r="JI26" s="9" t="s">
        <v>556</v>
      </c>
      <c r="JJ26" s="9" t="s">
        <v>306</v>
      </c>
      <c r="JK26" s="9" t="s">
        <v>306</v>
      </c>
      <c r="JL26" s="9"/>
      <c r="JM26" s="9" t="s">
        <v>306</v>
      </c>
      <c r="JN26" s="9"/>
      <c r="JO26" s="9" t="s">
        <v>306</v>
      </c>
      <c r="JP26" s="9" t="s">
        <v>306</v>
      </c>
      <c r="JQ26" s="9" t="s">
        <v>306</v>
      </c>
      <c r="JR26" s="9" t="s">
        <v>306</v>
      </c>
      <c r="JS26" s="9" t="s">
        <v>306</v>
      </c>
      <c r="JT26" s="9" t="s">
        <v>362</v>
      </c>
      <c r="JU26" s="9" t="s">
        <v>306</v>
      </c>
      <c r="JV26" s="9" t="s">
        <v>306</v>
      </c>
      <c r="JW26" s="9" t="s">
        <v>306</v>
      </c>
      <c r="JX26" s="9"/>
      <c r="JY26" s="9"/>
      <c r="JZ26" s="9" t="s">
        <v>306</v>
      </c>
      <c r="KA26" s="9" t="s">
        <v>306</v>
      </c>
      <c r="KB26" s="9" t="s">
        <v>267</v>
      </c>
      <c r="KC26" s="9"/>
      <c r="KD26" s="9" t="s">
        <v>306</v>
      </c>
      <c r="KE26" s="9"/>
      <c r="KF26" s="9"/>
      <c r="KG26" s="9" t="s">
        <v>337</v>
      </c>
      <c r="KH26" s="9" t="s">
        <v>364</v>
      </c>
      <c r="KI26" s="9" t="s">
        <v>339</v>
      </c>
      <c r="KJ26" s="9" t="s">
        <v>306</v>
      </c>
      <c r="KK26" s="9" t="s">
        <v>278</v>
      </c>
      <c r="KL26" s="9"/>
      <c r="KM26" s="9"/>
      <c r="KN26" s="9"/>
      <c r="KO26" s="9" t="s">
        <v>306</v>
      </c>
      <c r="KP26" s="9"/>
      <c r="KQ26" s="9"/>
      <c r="KR26" s="9"/>
      <c r="KS26" s="9"/>
      <c r="KT26" s="9"/>
      <c r="KU26" s="9">
        <v>4</v>
      </c>
      <c r="KV26" s="9">
        <v>2.5</v>
      </c>
      <c r="KW26" s="9">
        <v>3</v>
      </c>
      <c r="KX26" s="9">
        <v>2.6</v>
      </c>
      <c r="KY26" s="9" t="s">
        <v>62</v>
      </c>
      <c r="KZ26" s="9"/>
      <c r="LA26" s="9"/>
      <c r="LB26" s="9"/>
      <c r="LC26" s="9"/>
      <c r="LD26" s="9"/>
      <c r="LE26" s="9"/>
      <c r="LF26" s="9" t="s">
        <v>306</v>
      </c>
      <c r="LG26" s="9" t="s">
        <v>341</v>
      </c>
      <c r="LH26" s="9" t="s">
        <v>341</v>
      </c>
      <c r="LI26" s="9" t="s">
        <v>454</v>
      </c>
      <c r="LJ26" s="9" t="s">
        <v>307</v>
      </c>
      <c r="LK26" s="9" t="s">
        <v>62</v>
      </c>
    </row>
    <row r="27" spans="1:323" x14ac:dyDescent="0.3">
      <c r="A27" s="8"/>
      <c r="B27" s="9" t="s">
        <v>548</v>
      </c>
      <c r="C27" s="9" t="s">
        <v>302</v>
      </c>
      <c r="D27" s="9" t="s">
        <v>635</v>
      </c>
      <c r="E27" s="9" t="s">
        <v>343</v>
      </c>
      <c r="F27" s="9" t="s">
        <v>368</v>
      </c>
      <c r="G27" s="9" t="s">
        <v>304</v>
      </c>
      <c r="H27" s="9" t="s">
        <v>304</v>
      </c>
      <c r="I27" s="9" t="s">
        <v>321</v>
      </c>
      <c r="J27" s="9" t="s">
        <v>399</v>
      </c>
      <c r="K27" s="9" t="s">
        <v>306</v>
      </c>
      <c r="L27" s="9" t="s">
        <v>306</v>
      </c>
      <c r="M27" s="9" t="s">
        <v>306</v>
      </c>
      <c r="N27" s="9" t="s">
        <v>306</v>
      </c>
      <c r="O27" s="9" t="s">
        <v>306</v>
      </c>
      <c r="P27" s="9" t="s">
        <v>306</v>
      </c>
      <c r="Q27" s="9"/>
      <c r="R27" s="9"/>
      <c r="S27" s="9">
        <v>70</v>
      </c>
      <c r="T27" s="9">
        <v>10</v>
      </c>
      <c r="U27" s="9" t="s">
        <v>537</v>
      </c>
      <c r="V27" s="9" t="s">
        <v>455</v>
      </c>
      <c r="W27" s="9" t="s">
        <v>310</v>
      </c>
      <c r="X27" s="10">
        <v>100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100</v>
      </c>
      <c r="AE27" s="10">
        <v>0</v>
      </c>
      <c r="AF27" s="10">
        <v>0</v>
      </c>
      <c r="AG27" s="10">
        <v>0</v>
      </c>
      <c r="AH27" s="10">
        <v>0</v>
      </c>
      <c r="AI27" s="9" t="s">
        <v>307</v>
      </c>
      <c r="AJ27" s="9">
        <v>95</v>
      </c>
      <c r="AK27" s="9">
        <v>0</v>
      </c>
      <c r="AL27" s="9">
        <v>0</v>
      </c>
      <c r="AM27" s="9">
        <v>0</v>
      </c>
      <c r="AN27" s="9">
        <v>5</v>
      </c>
      <c r="AO27" s="9"/>
      <c r="AP27" s="9"/>
      <c r="AQ27" s="9"/>
      <c r="AR27" s="9" t="s">
        <v>50</v>
      </c>
      <c r="AS27" s="9"/>
      <c r="AT27" s="9"/>
      <c r="AU27" s="9"/>
      <c r="AV27" s="9"/>
      <c r="AW27" s="9"/>
      <c r="AX27" s="9"/>
      <c r="AY27" s="9"/>
      <c r="AZ27" s="9"/>
      <c r="BA27" s="9"/>
      <c r="BB27" s="9" t="s">
        <v>306</v>
      </c>
      <c r="BC27" s="9" t="s">
        <v>311</v>
      </c>
      <c r="BD27" s="9" t="s">
        <v>307</v>
      </c>
      <c r="BE27" s="9" t="s">
        <v>592</v>
      </c>
      <c r="BF27" s="9" t="s">
        <v>306</v>
      </c>
      <c r="BG27" s="9"/>
      <c r="BH27" s="9" t="s">
        <v>306</v>
      </c>
      <c r="BI27" s="9" t="s">
        <v>306</v>
      </c>
      <c r="BJ27" s="9"/>
      <c r="BK27" s="9"/>
      <c r="BL27" s="9"/>
      <c r="BM27" s="9"/>
      <c r="BN27" s="9"/>
      <c r="BO27" s="9" t="s">
        <v>589</v>
      </c>
      <c r="BP27" s="9" t="s">
        <v>306</v>
      </c>
      <c r="BQ27" s="9" t="s">
        <v>306</v>
      </c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 t="s">
        <v>593</v>
      </c>
      <c r="CC27" s="9"/>
      <c r="CD27" s="9" t="s">
        <v>306</v>
      </c>
      <c r="CE27" s="9" t="s">
        <v>306</v>
      </c>
      <c r="CF27" s="9"/>
      <c r="CG27" s="9"/>
      <c r="CH27" s="9" t="s">
        <v>306</v>
      </c>
      <c r="CI27" s="9"/>
      <c r="CJ27" s="9"/>
      <c r="CK27" s="9"/>
      <c r="CL27" s="9" t="s">
        <v>376</v>
      </c>
      <c r="CM27" s="9" t="s">
        <v>351</v>
      </c>
      <c r="CN27" s="9" t="s">
        <v>307</v>
      </c>
      <c r="CO27" s="9" t="s">
        <v>43</v>
      </c>
      <c r="CP27" s="9" t="s">
        <v>306</v>
      </c>
      <c r="CQ27" s="9"/>
      <c r="CR27" s="9"/>
      <c r="CS27" s="9"/>
      <c r="CT27" s="9"/>
      <c r="CU27" s="9"/>
      <c r="CV27" s="9"/>
      <c r="CW27" s="9" t="s">
        <v>99</v>
      </c>
      <c r="CX27" s="9"/>
      <c r="CY27" s="9"/>
      <c r="CZ27" s="9"/>
      <c r="DA27" s="9"/>
      <c r="DB27" s="9"/>
      <c r="DC27" s="9" t="s">
        <v>306</v>
      </c>
      <c r="DD27" s="11">
        <v>800</v>
      </c>
      <c r="DE27" s="11">
        <v>800</v>
      </c>
      <c r="DF27" s="11">
        <v>800</v>
      </c>
      <c r="DG27" s="12">
        <v>26.5</v>
      </c>
      <c r="DH27" s="9">
        <v>27</v>
      </c>
      <c r="DI27" s="9">
        <v>26</v>
      </c>
      <c r="DJ27" s="9">
        <v>90</v>
      </c>
      <c r="DK27" s="9">
        <v>0</v>
      </c>
      <c r="DL27" s="9">
        <v>0</v>
      </c>
      <c r="DM27" s="9">
        <v>1</v>
      </c>
      <c r="DN27" s="9">
        <v>9</v>
      </c>
      <c r="DO27" s="9">
        <v>32</v>
      </c>
      <c r="DP27" s="9">
        <v>10</v>
      </c>
      <c r="DQ27" s="9" t="s">
        <v>307</v>
      </c>
      <c r="DR27" s="9" t="s">
        <v>306</v>
      </c>
      <c r="DS27" s="9" t="s">
        <v>306</v>
      </c>
      <c r="DT27" s="10">
        <v>1.5342465753424657</v>
      </c>
      <c r="DU27" s="10">
        <v>3</v>
      </c>
      <c r="DV27" s="10">
        <f t="shared" si="1"/>
        <v>4.5342465753424657</v>
      </c>
      <c r="DW27" s="9">
        <v>32</v>
      </c>
      <c r="DX27" s="9">
        <v>5</v>
      </c>
      <c r="DY27" s="9">
        <v>9</v>
      </c>
      <c r="DZ27" s="9">
        <v>0</v>
      </c>
      <c r="EA27" s="9">
        <v>19</v>
      </c>
      <c r="EB27" s="9">
        <v>18</v>
      </c>
      <c r="EC27" s="9">
        <v>0</v>
      </c>
      <c r="ED27" s="9">
        <v>0</v>
      </c>
      <c r="EE27" s="9">
        <v>2</v>
      </c>
      <c r="EF27" s="9">
        <v>0</v>
      </c>
      <c r="EG27" s="9">
        <v>0</v>
      </c>
      <c r="EH27" s="9">
        <v>0</v>
      </c>
      <c r="EI27" s="9">
        <v>0</v>
      </c>
      <c r="EJ27" s="9">
        <v>50</v>
      </c>
      <c r="EK27" s="9">
        <v>0</v>
      </c>
      <c r="EL27" s="9">
        <v>50</v>
      </c>
      <c r="EM27" s="9">
        <v>0</v>
      </c>
      <c r="EN27" s="9">
        <v>20</v>
      </c>
      <c r="EO27" s="9">
        <v>0</v>
      </c>
      <c r="EP27" s="9">
        <v>0</v>
      </c>
      <c r="EQ27" s="9">
        <v>80</v>
      </c>
      <c r="ER27" s="9">
        <v>0</v>
      </c>
      <c r="ES27" s="9">
        <v>0</v>
      </c>
      <c r="ET27" s="9">
        <v>0</v>
      </c>
      <c r="EU27" s="9">
        <v>0</v>
      </c>
      <c r="EV27" s="9" t="s">
        <v>317</v>
      </c>
      <c r="EW27" s="9" t="s">
        <v>306</v>
      </c>
      <c r="EX27" s="9" t="s">
        <v>306</v>
      </c>
      <c r="EY27" s="9" t="s">
        <v>318</v>
      </c>
      <c r="EZ27" s="9" t="s">
        <v>306</v>
      </c>
      <c r="FA27" s="9" t="s">
        <v>306</v>
      </c>
      <c r="FB27" s="9" t="s">
        <v>319</v>
      </c>
      <c r="FC27" s="9">
        <v>2</v>
      </c>
      <c r="FD27" s="9">
        <v>2</v>
      </c>
      <c r="FE27" s="9" t="s">
        <v>377</v>
      </c>
      <c r="FF27" s="9" t="s">
        <v>321</v>
      </c>
      <c r="FG27" s="9" t="s">
        <v>492</v>
      </c>
      <c r="FH27" s="9" t="s">
        <v>306</v>
      </c>
      <c r="FI27" s="9"/>
      <c r="FJ27" s="9" t="s">
        <v>306</v>
      </c>
      <c r="FK27" s="9"/>
      <c r="FL27" s="9"/>
      <c r="FM27" s="9"/>
      <c r="FN27" s="9"/>
      <c r="FO27" s="9"/>
      <c r="FP27" s="9"/>
      <c r="FQ27" s="9" t="s">
        <v>594</v>
      </c>
      <c r="FR27" s="9"/>
      <c r="FS27" s="9"/>
      <c r="FT27" s="9"/>
      <c r="FU27" s="9"/>
      <c r="FV27" s="9"/>
      <c r="FW27" s="9"/>
      <c r="FX27" s="9"/>
      <c r="FY27" s="9"/>
      <c r="FZ27" s="9" t="s">
        <v>323</v>
      </c>
      <c r="GA27" s="9" t="s">
        <v>177</v>
      </c>
      <c r="GB27" s="9"/>
      <c r="GC27" s="9" t="s">
        <v>306</v>
      </c>
      <c r="GD27" s="9"/>
      <c r="GE27" s="9"/>
      <c r="GF27" s="9"/>
      <c r="GG27" s="9"/>
      <c r="GH27" s="9"/>
      <c r="GI27" s="9" t="s">
        <v>440</v>
      </c>
      <c r="GJ27" s="9" t="s">
        <v>307</v>
      </c>
      <c r="GK27" s="9"/>
      <c r="GL27" s="9" t="s">
        <v>380</v>
      </c>
      <c r="GM27" s="9" t="s">
        <v>306</v>
      </c>
      <c r="GN27" s="9" t="s">
        <v>306</v>
      </c>
      <c r="GO27" s="9"/>
      <c r="GP27" s="9"/>
      <c r="GQ27" s="9"/>
      <c r="GR27" s="9"/>
      <c r="GS27" s="9">
        <v>60</v>
      </c>
      <c r="GT27" s="9" t="s">
        <v>595</v>
      </c>
      <c r="GU27" s="9"/>
      <c r="GV27" s="9"/>
      <c r="GW27" s="9" t="s">
        <v>306</v>
      </c>
      <c r="GX27" s="9"/>
      <c r="GY27" s="9" t="s">
        <v>306</v>
      </c>
      <c r="GZ27" s="9"/>
      <c r="HA27" s="9" t="s">
        <v>306</v>
      </c>
      <c r="HB27" s="9"/>
      <c r="HC27" s="9"/>
      <c r="HD27" s="9"/>
      <c r="HE27" s="9"/>
      <c r="HF27" s="9" t="s">
        <v>596</v>
      </c>
      <c r="HG27" s="9" t="s">
        <v>306</v>
      </c>
      <c r="HH27" s="9" t="s">
        <v>306</v>
      </c>
      <c r="HI27" s="9"/>
      <c r="HJ27" s="9"/>
      <c r="HK27" s="9"/>
      <c r="HL27" s="9"/>
      <c r="HM27" s="9"/>
      <c r="HN27" s="9" t="s">
        <v>306</v>
      </c>
      <c r="HO27" s="9"/>
      <c r="HP27" s="9"/>
      <c r="HQ27" s="9"/>
      <c r="HR27" s="9">
        <v>0</v>
      </c>
      <c r="HS27" s="9">
        <v>0</v>
      </c>
      <c r="HT27" s="9">
        <v>50</v>
      </c>
      <c r="HU27" s="9">
        <v>0</v>
      </c>
      <c r="HV27" s="9">
        <v>50</v>
      </c>
      <c r="HW27" s="9" t="s">
        <v>597</v>
      </c>
      <c r="HX27" s="9"/>
      <c r="HY27" s="9" t="s">
        <v>306</v>
      </c>
      <c r="HZ27" s="9" t="s">
        <v>306</v>
      </c>
      <c r="IA27" s="9"/>
      <c r="IB27" s="9" t="s">
        <v>306</v>
      </c>
      <c r="IC27" s="9"/>
      <c r="ID27" s="9"/>
      <c r="IE27" s="9" t="s">
        <v>306</v>
      </c>
      <c r="IF27" s="9"/>
      <c r="IG27" s="9"/>
      <c r="IH27" s="9" t="s">
        <v>330</v>
      </c>
      <c r="II27" s="9" t="s">
        <v>331</v>
      </c>
      <c r="IJ27" s="9" t="s">
        <v>443</v>
      </c>
      <c r="IK27" s="9" t="s">
        <v>306</v>
      </c>
      <c r="IL27" s="9"/>
      <c r="IM27" s="9" t="s">
        <v>306</v>
      </c>
      <c r="IN27" s="9"/>
      <c r="IO27" s="9"/>
      <c r="IP27" s="9"/>
      <c r="IQ27" s="9"/>
      <c r="IR27" s="9"/>
      <c r="IS27" s="9"/>
      <c r="IT27" s="9" t="s">
        <v>306</v>
      </c>
      <c r="IU27" s="9" t="s">
        <v>385</v>
      </c>
      <c r="IV27" s="9" t="s">
        <v>474</v>
      </c>
      <c r="IW27" s="9" t="s">
        <v>306</v>
      </c>
      <c r="IX27" s="9" t="s">
        <v>306</v>
      </c>
      <c r="IY27" s="9"/>
      <c r="IZ27" s="9"/>
      <c r="JA27" s="9" t="s">
        <v>306</v>
      </c>
      <c r="JB27" s="9">
        <v>1</v>
      </c>
      <c r="JC27" s="9">
        <v>3</v>
      </c>
      <c r="JD27" s="9">
        <v>100</v>
      </c>
      <c r="JE27" s="9">
        <v>22</v>
      </c>
      <c r="JF27" s="9">
        <v>9.5</v>
      </c>
      <c r="JG27" s="9">
        <v>0</v>
      </c>
      <c r="JH27" s="9">
        <v>0</v>
      </c>
      <c r="JI27" s="9" t="s">
        <v>556</v>
      </c>
      <c r="JJ27" s="9" t="s">
        <v>306</v>
      </c>
      <c r="JK27" s="9" t="s">
        <v>306</v>
      </c>
      <c r="JL27" s="9"/>
      <c r="JM27" s="9" t="s">
        <v>306</v>
      </c>
      <c r="JN27" s="9"/>
      <c r="JO27" s="9" t="s">
        <v>306</v>
      </c>
      <c r="JP27" s="9" t="s">
        <v>306</v>
      </c>
      <c r="JQ27" s="9" t="s">
        <v>306</v>
      </c>
      <c r="JR27" s="9" t="s">
        <v>306</v>
      </c>
      <c r="JS27" s="9" t="s">
        <v>306</v>
      </c>
      <c r="JT27" s="9" t="s">
        <v>570</v>
      </c>
      <c r="JU27" s="9" t="s">
        <v>306</v>
      </c>
      <c r="JV27" s="9" t="s">
        <v>306</v>
      </c>
      <c r="JW27" s="9" t="s">
        <v>306</v>
      </c>
      <c r="JX27" s="9" t="s">
        <v>306</v>
      </c>
      <c r="JY27" s="9"/>
      <c r="JZ27" s="9"/>
      <c r="KA27" s="9" t="s">
        <v>306</v>
      </c>
      <c r="KB27" s="9" t="s">
        <v>267</v>
      </c>
      <c r="KC27" s="9"/>
      <c r="KD27" s="9" t="s">
        <v>306</v>
      </c>
      <c r="KE27" s="9"/>
      <c r="KF27" s="9"/>
      <c r="KG27" s="9" t="s">
        <v>337</v>
      </c>
      <c r="KH27" s="9" t="s">
        <v>338</v>
      </c>
      <c r="KI27" s="9" t="s">
        <v>339</v>
      </c>
      <c r="KJ27" s="9" t="s">
        <v>306</v>
      </c>
      <c r="KK27" s="9" t="s">
        <v>435</v>
      </c>
      <c r="KL27" s="9" t="s">
        <v>306</v>
      </c>
      <c r="KM27" s="9" t="s">
        <v>306</v>
      </c>
      <c r="KN27" s="9"/>
      <c r="KO27" s="9" t="s">
        <v>306</v>
      </c>
      <c r="KP27" s="9"/>
      <c r="KQ27" s="9"/>
      <c r="KR27" s="9"/>
      <c r="KS27" s="9"/>
      <c r="KT27" s="9"/>
      <c r="KU27" s="9">
        <v>15</v>
      </c>
      <c r="KV27" s="9">
        <v>2.6</v>
      </c>
      <c r="KW27" s="9">
        <v>2.75</v>
      </c>
      <c r="KX27" s="9">
        <v>2.95</v>
      </c>
      <c r="KY27" s="9" t="s">
        <v>365</v>
      </c>
      <c r="KZ27" s="9" t="s">
        <v>306</v>
      </c>
      <c r="LA27" s="9" t="s">
        <v>306</v>
      </c>
      <c r="LB27" s="9" t="s">
        <v>306</v>
      </c>
      <c r="LC27" s="9" t="s">
        <v>306</v>
      </c>
      <c r="LD27" s="9" t="s">
        <v>306</v>
      </c>
      <c r="LE27" s="9"/>
      <c r="LF27" s="9"/>
      <c r="LG27" s="9" t="s">
        <v>341</v>
      </c>
      <c r="LH27" s="9" t="s">
        <v>341</v>
      </c>
      <c r="LI27" s="9" t="s">
        <v>341</v>
      </c>
      <c r="LJ27" s="9" t="s">
        <v>307</v>
      </c>
      <c r="LK27" s="9" t="s">
        <v>342</v>
      </c>
    </row>
    <row r="28" spans="1:323" x14ac:dyDescent="0.3">
      <c r="A28" s="8"/>
      <c r="B28" s="9" t="s">
        <v>501</v>
      </c>
      <c r="C28" s="9" t="s">
        <v>367</v>
      </c>
      <c r="D28" s="9" t="s">
        <v>631</v>
      </c>
      <c r="E28" s="9" t="s">
        <v>301</v>
      </c>
      <c r="F28" s="9" t="s">
        <v>303</v>
      </c>
      <c r="G28" s="9" t="s">
        <v>304</v>
      </c>
      <c r="H28" s="9" t="s">
        <v>369</v>
      </c>
      <c r="I28" s="9" t="s">
        <v>321</v>
      </c>
      <c r="J28" s="9" t="s">
        <v>598</v>
      </c>
      <c r="K28" s="9" t="s">
        <v>306</v>
      </c>
      <c r="L28" s="9" t="s">
        <v>306</v>
      </c>
      <c r="M28" s="9" t="s">
        <v>306</v>
      </c>
      <c r="N28" s="9" t="s">
        <v>306</v>
      </c>
      <c r="O28" s="9" t="s">
        <v>306</v>
      </c>
      <c r="P28" s="9"/>
      <c r="Q28" s="9" t="s">
        <v>306</v>
      </c>
      <c r="R28" s="9" t="s">
        <v>306</v>
      </c>
      <c r="S28" s="9">
        <v>84</v>
      </c>
      <c r="T28" s="9">
        <v>50</v>
      </c>
      <c r="U28" s="9" t="s">
        <v>308</v>
      </c>
      <c r="V28" s="9" t="s">
        <v>411</v>
      </c>
      <c r="W28" s="9" t="s">
        <v>346</v>
      </c>
      <c r="X28" s="10">
        <v>77</v>
      </c>
      <c r="Y28" s="10">
        <v>23</v>
      </c>
      <c r="Z28" s="10">
        <v>0</v>
      </c>
      <c r="AA28" s="10">
        <v>0</v>
      </c>
      <c r="AB28" s="10">
        <v>0</v>
      </c>
      <c r="AC28" s="10">
        <v>0</v>
      </c>
      <c r="AD28" s="10">
        <v>100</v>
      </c>
      <c r="AE28" s="10">
        <v>0</v>
      </c>
      <c r="AF28" s="10">
        <v>0</v>
      </c>
      <c r="AG28" s="10">
        <v>0</v>
      </c>
      <c r="AH28" s="10">
        <v>0</v>
      </c>
      <c r="AI28" s="9" t="s">
        <v>307</v>
      </c>
      <c r="AJ28" s="9">
        <v>95</v>
      </c>
      <c r="AK28" s="9">
        <v>5</v>
      </c>
      <c r="AL28" s="9">
        <v>0</v>
      </c>
      <c r="AM28" s="9">
        <v>0</v>
      </c>
      <c r="AN28" s="9">
        <v>0</v>
      </c>
      <c r="AO28" s="9"/>
      <c r="AP28" s="9"/>
      <c r="AQ28" s="9"/>
      <c r="AR28" s="9" t="s">
        <v>599</v>
      </c>
      <c r="AS28" s="9"/>
      <c r="AT28" s="9"/>
      <c r="AU28" s="9" t="s">
        <v>306</v>
      </c>
      <c r="AV28" s="9"/>
      <c r="AW28" s="9" t="s">
        <v>306</v>
      </c>
      <c r="AX28" s="9"/>
      <c r="AY28" s="9"/>
      <c r="AZ28" s="9"/>
      <c r="BA28" s="9"/>
      <c r="BB28" s="9"/>
      <c r="BC28" s="9" t="s">
        <v>412</v>
      </c>
      <c r="BD28" s="9" t="s">
        <v>306</v>
      </c>
      <c r="BE28" s="9" t="s">
        <v>600</v>
      </c>
      <c r="BF28" s="9"/>
      <c r="BG28" s="9" t="s">
        <v>306</v>
      </c>
      <c r="BH28" s="9"/>
      <c r="BI28" s="9" t="s">
        <v>306</v>
      </c>
      <c r="BJ28" s="9"/>
      <c r="BK28" s="9" t="s">
        <v>306</v>
      </c>
      <c r="BL28" s="9"/>
      <c r="BM28" s="9"/>
      <c r="BN28" s="9"/>
      <c r="BO28" s="9" t="s">
        <v>64</v>
      </c>
      <c r="BP28" s="9" t="s">
        <v>306</v>
      </c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 t="s">
        <v>601</v>
      </c>
      <c r="CC28" s="9" t="s">
        <v>306</v>
      </c>
      <c r="CD28" s="9"/>
      <c r="CE28" s="9"/>
      <c r="CF28" s="9" t="s">
        <v>306</v>
      </c>
      <c r="CG28" s="9"/>
      <c r="CH28" s="9" t="s">
        <v>306</v>
      </c>
      <c r="CI28" s="9"/>
      <c r="CJ28" s="9"/>
      <c r="CK28" s="9"/>
      <c r="CL28" s="9" t="s">
        <v>314</v>
      </c>
      <c r="CM28" s="9" t="s">
        <v>315</v>
      </c>
      <c r="CN28" s="9" t="s">
        <v>307</v>
      </c>
      <c r="CO28" s="9" t="s">
        <v>92</v>
      </c>
      <c r="CP28" s="9"/>
      <c r="CQ28" s="9"/>
      <c r="CR28" s="9"/>
      <c r="CS28" s="9"/>
      <c r="CT28" s="9"/>
      <c r="CU28" s="9"/>
      <c r="CV28" s="9" t="s">
        <v>306</v>
      </c>
      <c r="CW28" s="9" t="s">
        <v>98</v>
      </c>
      <c r="CX28" s="9"/>
      <c r="CY28" s="9"/>
      <c r="CZ28" s="9"/>
      <c r="DA28" s="9"/>
      <c r="DB28" s="9" t="s">
        <v>306</v>
      </c>
      <c r="DC28" s="9"/>
      <c r="DD28" s="11">
        <v>1325</v>
      </c>
      <c r="DE28" s="11">
        <v>1250</v>
      </c>
      <c r="DF28" s="11">
        <v>1400</v>
      </c>
      <c r="DG28" s="12">
        <v>27</v>
      </c>
      <c r="DH28" s="9">
        <v>26</v>
      </c>
      <c r="DI28" s="9">
        <v>28</v>
      </c>
      <c r="DJ28" s="9">
        <v>100</v>
      </c>
      <c r="DK28" s="9">
        <v>0</v>
      </c>
      <c r="DL28" s="9">
        <v>0</v>
      </c>
      <c r="DM28" s="9">
        <v>0</v>
      </c>
      <c r="DN28" s="9">
        <v>0</v>
      </c>
      <c r="DO28" s="9">
        <v>130</v>
      </c>
      <c r="DP28" s="9">
        <v>50</v>
      </c>
      <c r="DQ28" s="9" t="s">
        <v>306</v>
      </c>
      <c r="DR28" s="9" t="s">
        <v>306</v>
      </c>
      <c r="DS28" s="9" t="s">
        <v>306</v>
      </c>
      <c r="DT28" s="10">
        <v>4.4876712328767123</v>
      </c>
      <c r="DU28" s="10">
        <v>0</v>
      </c>
      <c r="DV28" s="10">
        <f t="shared" si="1"/>
        <v>4.4876712328767123</v>
      </c>
      <c r="DW28" s="9">
        <v>55</v>
      </c>
      <c r="DX28" s="9">
        <v>8</v>
      </c>
      <c r="DY28" s="9">
        <v>8</v>
      </c>
      <c r="DZ28" s="9">
        <v>3</v>
      </c>
      <c r="EA28" s="9">
        <v>25</v>
      </c>
      <c r="EB28" s="9">
        <v>15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50</v>
      </c>
      <c r="EJ28" s="9">
        <v>50</v>
      </c>
      <c r="EK28" s="9">
        <v>0</v>
      </c>
      <c r="EL28" s="9">
        <v>0</v>
      </c>
      <c r="EM28" s="9">
        <v>0</v>
      </c>
      <c r="EN28" s="9">
        <v>30</v>
      </c>
      <c r="EO28" s="9">
        <v>30</v>
      </c>
      <c r="EP28" s="9">
        <v>40</v>
      </c>
      <c r="EQ28" s="9">
        <v>0</v>
      </c>
      <c r="ER28" s="9">
        <v>0</v>
      </c>
      <c r="ES28" s="9">
        <v>0</v>
      </c>
      <c r="ET28" s="9">
        <v>0</v>
      </c>
      <c r="EU28" s="9">
        <v>0</v>
      </c>
      <c r="EV28" s="9" t="s">
        <v>317</v>
      </c>
      <c r="EW28" s="9" t="s">
        <v>306</v>
      </c>
      <c r="EX28" s="9" t="s">
        <v>306</v>
      </c>
      <c r="EY28" s="9" t="s">
        <v>318</v>
      </c>
      <c r="EZ28" s="9" t="s">
        <v>306</v>
      </c>
      <c r="FA28" s="9" t="s">
        <v>306</v>
      </c>
      <c r="FB28" s="9" t="s">
        <v>319</v>
      </c>
      <c r="FC28" s="9">
        <v>2</v>
      </c>
      <c r="FD28" s="9">
        <v>2</v>
      </c>
      <c r="FE28" s="9" t="s">
        <v>377</v>
      </c>
      <c r="FF28" s="9" t="s">
        <v>321</v>
      </c>
      <c r="FG28" s="9" t="s">
        <v>156</v>
      </c>
      <c r="FH28" s="9" t="s">
        <v>306</v>
      </c>
      <c r="FI28" s="9"/>
      <c r="FJ28" s="9"/>
      <c r="FK28" s="9"/>
      <c r="FL28" s="9"/>
      <c r="FM28" s="9"/>
      <c r="FN28" s="9"/>
      <c r="FO28" s="9"/>
      <c r="FP28" s="9"/>
      <c r="FQ28" s="9" t="s">
        <v>482</v>
      </c>
      <c r="FR28" s="9"/>
      <c r="FS28" s="9"/>
      <c r="FT28" s="9"/>
      <c r="FU28" s="9"/>
      <c r="FV28" s="9"/>
      <c r="FW28" s="9"/>
      <c r="FX28" s="9"/>
      <c r="FY28" s="9"/>
      <c r="FZ28" s="9" t="s">
        <v>323</v>
      </c>
      <c r="GA28" s="9" t="s">
        <v>324</v>
      </c>
      <c r="GB28" s="9" t="s">
        <v>306</v>
      </c>
      <c r="GC28" s="9" t="s">
        <v>306</v>
      </c>
      <c r="GD28" s="9"/>
      <c r="GE28" s="9"/>
      <c r="GF28" s="9"/>
      <c r="GG28" s="9"/>
      <c r="GH28" s="9"/>
      <c r="GI28" s="9" t="s">
        <v>325</v>
      </c>
      <c r="GJ28" s="9" t="s">
        <v>306</v>
      </c>
      <c r="GK28" s="9">
        <v>2.42</v>
      </c>
      <c r="GL28" s="9" t="s">
        <v>541</v>
      </c>
      <c r="GM28" s="9" t="s">
        <v>306</v>
      </c>
      <c r="GN28" s="9"/>
      <c r="GO28" s="9" t="s">
        <v>306</v>
      </c>
      <c r="GP28" s="9"/>
      <c r="GQ28" s="9"/>
      <c r="GR28" s="9"/>
      <c r="GS28" s="9">
        <v>30</v>
      </c>
      <c r="GT28" s="9" t="s">
        <v>602</v>
      </c>
      <c r="GU28" s="9" t="s">
        <v>306</v>
      </c>
      <c r="GV28" s="9" t="s">
        <v>306</v>
      </c>
      <c r="GW28" s="9"/>
      <c r="GX28" s="9" t="s">
        <v>306</v>
      </c>
      <c r="GY28" s="9"/>
      <c r="GZ28" s="9"/>
      <c r="HA28" s="9"/>
      <c r="HB28" s="9"/>
      <c r="HC28" s="9"/>
      <c r="HD28" s="9"/>
      <c r="HE28" s="9"/>
      <c r="HF28" s="9" t="s">
        <v>200</v>
      </c>
      <c r="HG28" s="9"/>
      <c r="HH28" s="9"/>
      <c r="HI28" s="9"/>
      <c r="HJ28" s="9"/>
      <c r="HK28" s="9"/>
      <c r="HL28" s="9"/>
      <c r="HM28" s="9"/>
      <c r="HN28" s="9"/>
      <c r="HO28" s="9" t="s">
        <v>306</v>
      </c>
      <c r="HP28" s="9"/>
      <c r="HQ28" s="9"/>
      <c r="HR28" s="9">
        <v>0</v>
      </c>
      <c r="HS28" s="9">
        <v>95</v>
      </c>
      <c r="HT28" s="9">
        <v>0</v>
      </c>
      <c r="HU28" s="9">
        <v>0</v>
      </c>
      <c r="HV28" s="9">
        <v>5</v>
      </c>
      <c r="HW28" s="9" t="s">
        <v>472</v>
      </c>
      <c r="HX28" s="9" t="s">
        <v>306</v>
      </c>
      <c r="HY28" s="9" t="s">
        <v>306</v>
      </c>
      <c r="HZ28" s="9" t="s">
        <v>306</v>
      </c>
      <c r="IA28" s="9"/>
      <c r="IB28" s="9" t="s">
        <v>306</v>
      </c>
      <c r="IC28" s="9"/>
      <c r="ID28" s="9"/>
      <c r="IE28" s="9" t="s">
        <v>306</v>
      </c>
      <c r="IF28" s="9"/>
      <c r="IG28" s="9"/>
      <c r="IH28" s="9" t="s">
        <v>330</v>
      </c>
      <c r="II28" s="9" t="s">
        <v>331</v>
      </c>
      <c r="IJ28" s="9" t="s">
        <v>603</v>
      </c>
      <c r="IK28" s="9" t="s">
        <v>306</v>
      </c>
      <c r="IL28" s="9" t="s">
        <v>306</v>
      </c>
      <c r="IM28" s="9" t="s">
        <v>306</v>
      </c>
      <c r="IN28" s="9"/>
      <c r="IO28" s="9" t="s">
        <v>306</v>
      </c>
      <c r="IP28" s="9" t="s">
        <v>306</v>
      </c>
      <c r="IQ28" s="9" t="s">
        <v>306</v>
      </c>
      <c r="IR28" s="9" t="s">
        <v>306</v>
      </c>
      <c r="IS28" s="9" t="s">
        <v>306</v>
      </c>
      <c r="IT28" s="9" t="s">
        <v>306</v>
      </c>
      <c r="IU28" s="9" t="s">
        <v>385</v>
      </c>
      <c r="IV28" s="9" t="s">
        <v>604</v>
      </c>
      <c r="IW28" s="9"/>
      <c r="IX28" s="9" t="s">
        <v>306</v>
      </c>
      <c r="IY28" s="9" t="s">
        <v>306</v>
      </c>
      <c r="IZ28" s="9" t="s">
        <v>306</v>
      </c>
      <c r="JA28" s="9"/>
      <c r="JB28" s="9">
        <v>3</v>
      </c>
      <c r="JC28" s="9">
        <v>3</v>
      </c>
      <c r="JD28" s="9">
        <v>80</v>
      </c>
      <c r="JE28" s="9">
        <v>26</v>
      </c>
      <c r="JF28" s="9">
        <v>15.4</v>
      </c>
      <c r="JG28" s="9">
        <v>8</v>
      </c>
      <c r="JH28" s="9">
        <v>5</v>
      </c>
      <c r="JI28" s="9" t="s">
        <v>605</v>
      </c>
      <c r="JJ28" s="9" t="s">
        <v>306</v>
      </c>
      <c r="JK28" s="9" t="s">
        <v>306</v>
      </c>
      <c r="JL28" s="9" t="s">
        <v>306</v>
      </c>
      <c r="JM28" s="9" t="s">
        <v>306</v>
      </c>
      <c r="JN28" s="9"/>
      <c r="JO28" s="9" t="s">
        <v>306</v>
      </c>
      <c r="JP28" s="9" t="s">
        <v>306</v>
      </c>
      <c r="JQ28" s="9" t="s">
        <v>306</v>
      </c>
      <c r="JR28" s="9" t="s">
        <v>306</v>
      </c>
      <c r="JS28" s="9" t="s">
        <v>306</v>
      </c>
      <c r="JT28" s="9" t="s">
        <v>606</v>
      </c>
      <c r="JU28" s="9"/>
      <c r="JV28" s="9" t="s">
        <v>306</v>
      </c>
      <c r="JW28" s="9" t="s">
        <v>306</v>
      </c>
      <c r="JX28" s="9"/>
      <c r="JY28" s="9"/>
      <c r="JZ28" s="9" t="s">
        <v>306</v>
      </c>
      <c r="KA28" s="9"/>
      <c r="KB28" s="9" t="s">
        <v>534</v>
      </c>
      <c r="KC28" s="9" t="s">
        <v>306</v>
      </c>
      <c r="KD28" s="9" t="s">
        <v>306</v>
      </c>
      <c r="KE28" s="9" t="s">
        <v>306</v>
      </c>
      <c r="KF28" s="9"/>
      <c r="KG28" s="9" t="s">
        <v>337</v>
      </c>
      <c r="KH28" s="9" t="s">
        <v>338</v>
      </c>
      <c r="KI28" s="9" t="s">
        <v>339</v>
      </c>
      <c r="KJ28" s="9" t="s">
        <v>306</v>
      </c>
      <c r="KK28" s="9" t="s">
        <v>278</v>
      </c>
      <c r="KL28" s="9"/>
      <c r="KM28" s="9"/>
      <c r="KN28" s="9"/>
      <c r="KO28" s="9" t="s">
        <v>306</v>
      </c>
      <c r="KP28" s="9"/>
      <c r="KQ28" s="9"/>
      <c r="KR28" s="9"/>
      <c r="KS28" s="9"/>
      <c r="KT28" s="9"/>
      <c r="KU28" s="9">
        <v>5</v>
      </c>
      <c r="KV28" s="9">
        <v>2.82</v>
      </c>
      <c r="KW28" s="9">
        <v>2.7</v>
      </c>
      <c r="KX28" s="9">
        <v>3.3</v>
      </c>
      <c r="KY28" s="9" t="s">
        <v>397</v>
      </c>
      <c r="KZ28" s="9"/>
      <c r="LA28" s="9" t="s">
        <v>306</v>
      </c>
      <c r="LB28" s="9" t="s">
        <v>306</v>
      </c>
      <c r="LC28" s="9" t="s">
        <v>306</v>
      </c>
      <c r="LD28" s="9" t="s">
        <v>306</v>
      </c>
      <c r="LE28" s="9"/>
      <c r="LF28" s="9"/>
      <c r="LG28" s="9" t="s">
        <v>341</v>
      </c>
      <c r="LH28" s="9" t="s">
        <v>341</v>
      </c>
      <c r="LI28" s="9" t="s">
        <v>341</v>
      </c>
      <c r="LJ28" s="9" t="s">
        <v>306</v>
      </c>
      <c r="LK28" s="9" t="s">
        <v>423</v>
      </c>
    </row>
    <row r="29" spans="1:323" x14ac:dyDescent="0.3">
      <c r="A29" s="8"/>
      <c r="B29" s="9" t="s">
        <v>488</v>
      </c>
      <c r="C29" s="9" t="s">
        <v>302</v>
      </c>
      <c r="D29" s="9" t="s">
        <v>635</v>
      </c>
      <c r="E29" s="9" t="s">
        <v>301</v>
      </c>
      <c r="F29" s="9" t="s">
        <v>368</v>
      </c>
      <c r="G29" s="9" t="s">
        <v>304</v>
      </c>
      <c r="H29" s="9" t="s">
        <v>304</v>
      </c>
      <c r="I29" s="9" t="s">
        <v>304</v>
      </c>
      <c r="J29" s="9" t="s">
        <v>607</v>
      </c>
      <c r="K29" s="9" t="s">
        <v>306</v>
      </c>
      <c r="L29" s="9" t="s">
        <v>306</v>
      </c>
      <c r="M29" s="9" t="s">
        <v>306</v>
      </c>
      <c r="N29" s="9" t="s">
        <v>306</v>
      </c>
      <c r="O29" s="9"/>
      <c r="P29" s="9" t="s">
        <v>306</v>
      </c>
      <c r="Q29" s="9"/>
      <c r="R29" s="9" t="s">
        <v>306</v>
      </c>
      <c r="S29" s="9">
        <v>57</v>
      </c>
      <c r="T29" s="9">
        <v>31</v>
      </c>
      <c r="U29" s="9" t="s">
        <v>308</v>
      </c>
      <c r="V29" s="9" t="s">
        <v>455</v>
      </c>
      <c r="W29" s="9" t="s">
        <v>310</v>
      </c>
      <c r="X29" s="10">
        <v>100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100</v>
      </c>
      <c r="AE29" s="10">
        <v>0</v>
      </c>
      <c r="AF29" s="10">
        <v>0</v>
      </c>
      <c r="AG29" s="10">
        <v>0</v>
      </c>
      <c r="AH29" s="10">
        <v>0</v>
      </c>
      <c r="AI29" s="9" t="s">
        <v>307</v>
      </c>
      <c r="AJ29" s="9">
        <v>50</v>
      </c>
      <c r="AK29" s="9">
        <v>0</v>
      </c>
      <c r="AL29" s="9">
        <v>0</v>
      </c>
      <c r="AM29" s="9">
        <v>0</v>
      </c>
      <c r="AN29" s="9">
        <v>50</v>
      </c>
      <c r="AO29" s="9"/>
      <c r="AP29" s="9"/>
      <c r="AQ29" s="9"/>
      <c r="AR29" s="9" t="s">
        <v>50</v>
      </c>
      <c r="AS29" s="9"/>
      <c r="AT29" s="9"/>
      <c r="AU29" s="9"/>
      <c r="AV29" s="9"/>
      <c r="AW29" s="9"/>
      <c r="AX29" s="9"/>
      <c r="AY29" s="9"/>
      <c r="AZ29" s="9"/>
      <c r="BA29" s="9"/>
      <c r="BB29" s="9" t="s">
        <v>306</v>
      </c>
      <c r="BC29" s="9" t="s">
        <v>311</v>
      </c>
      <c r="BD29" s="9" t="s">
        <v>307</v>
      </c>
      <c r="BE29" s="9" t="s">
        <v>528</v>
      </c>
      <c r="BF29" s="9" t="s">
        <v>306</v>
      </c>
      <c r="BG29" s="9" t="s">
        <v>306</v>
      </c>
      <c r="BH29" s="9"/>
      <c r="BI29" s="9"/>
      <c r="BJ29" s="9"/>
      <c r="BK29" s="9"/>
      <c r="BL29" s="9"/>
      <c r="BM29" s="9"/>
      <c r="BN29" s="9"/>
      <c r="BO29" s="9" t="s">
        <v>64</v>
      </c>
      <c r="BP29" s="9" t="s">
        <v>306</v>
      </c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 t="s">
        <v>608</v>
      </c>
      <c r="CC29" s="9" t="s">
        <v>306</v>
      </c>
      <c r="CD29" s="9" t="s">
        <v>306</v>
      </c>
      <c r="CE29" s="9"/>
      <c r="CF29" s="9"/>
      <c r="CG29" s="9" t="s">
        <v>306</v>
      </c>
      <c r="CH29" s="9"/>
      <c r="CI29" s="9"/>
      <c r="CJ29" s="9"/>
      <c r="CK29" s="9"/>
      <c r="CL29" s="9" t="s">
        <v>314</v>
      </c>
      <c r="CM29" s="9" t="s">
        <v>62</v>
      </c>
      <c r="CN29" s="9" t="s">
        <v>307</v>
      </c>
      <c r="CO29" s="9" t="s">
        <v>92</v>
      </c>
      <c r="CP29" s="9"/>
      <c r="CQ29" s="9"/>
      <c r="CR29" s="9"/>
      <c r="CS29" s="9"/>
      <c r="CT29" s="9"/>
      <c r="CU29" s="9"/>
      <c r="CV29" s="9" t="s">
        <v>306</v>
      </c>
      <c r="CW29" s="9" t="s">
        <v>98</v>
      </c>
      <c r="CX29" s="9"/>
      <c r="CY29" s="9"/>
      <c r="CZ29" s="9"/>
      <c r="DA29" s="9"/>
      <c r="DB29" s="9" t="s">
        <v>306</v>
      </c>
      <c r="DC29" s="9"/>
      <c r="DD29" s="11">
        <v>700</v>
      </c>
      <c r="DE29" s="11">
        <v>700</v>
      </c>
      <c r="DF29" s="11">
        <v>700</v>
      </c>
      <c r="DG29" s="12">
        <v>24</v>
      </c>
      <c r="DH29" s="9">
        <v>24</v>
      </c>
      <c r="DI29" s="9">
        <v>24</v>
      </c>
      <c r="DJ29" s="9">
        <v>98</v>
      </c>
      <c r="DK29" s="9">
        <v>0</v>
      </c>
      <c r="DL29" s="9">
        <v>0</v>
      </c>
      <c r="DM29" s="9">
        <v>0</v>
      </c>
      <c r="DN29" s="9">
        <v>2</v>
      </c>
      <c r="DO29" s="9">
        <v>22</v>
      </c>
      <c r="DP29" s="9">
        <v>11.7</v>
      </c>
      <c r="DQ29" s="9" t="s">
        <v>306</v>
      </c>
      <c r="DR29" s="9" t="s">
        <v>306</v>
      </c>
      <c r="DS29" s="9" t="s">
        <v>307</v>
      </c>
      <c r="DT29" s="10">
        <v>0.40273972602739727</v>
      </c>
      <c r="DU29" s="10">
        <v>3</v>
      </c>
      <c r="DV29" s="10">
        <f t="shared" si="1"/>
        <v>3.4027397260273973</v>
      </c>
      <c r="DW29" s="9">
        <v>33</v>
      </c>
      <c r="DX29" s="9">
        <v>7</v>
      </c>
      <c r="DY29" s="9">
        <v>5</v>
      </c>
      <c r="DZ29" s="9">
        <v>0</v>
      </c>
      <c r="EA29" s="9">
        <v>20</v>
      </c>
      <c r="EB29" s="9">
        <v>15</v>
      </c>
      <c r="EC29" s="9">
        <v>1</v>
      </c>
      <c r="ED29" s="9">
        <v>0</v>
      </c>
      <c r="EE29" s="9">
        <v>2</v>
      </c>
      <c r="EF29" s="9">
        <v>0</v>
      </c>
      <c r="EG29" s="9">
        <v>0</v>
      </c>
      <c r="EH29" s="9">
        <v>0</v>
      </c>
      <c r="EI29" s="9">
        <v>50</v>
      </c>
      <c r="EJ29" s="9">
        <v>50</v>
      </c>
      <c r="EK29" s="9">
        <v>0</v>
      </c>
      <c r="EL29" s="9">
        <v>0</v>
      </c>
      <c r="EM29" s="9">
        <v>0</v>
      </c>
      <c r="EN29" s="9">
        <v>0</v>
      </c>
      <c r="EO29" s="9">
        <v>20</v>
      </c>
      <c r="EP29" s="9">
        <v>60</v>
      </c>
      <c r="EQ29" s="9">
        <v>0</v>
      </c>
      <c r="ER29" s="9">
        <v>20</v>
      </c>
      <c r="ES29" s="9">
        <v>0</v>
      </c>
      <c r="ET29" s="9">
        <v>0</v>
      </c>
      <c r="EU29" s="9">
        <v>0</v>
      </c>
      <c r="EV29" s="9" t="s">
        <v>317</v>
      </c>
      <c r="EW29" s="9" t="s">
        <v>306</v>
      </c>
      <c r="EX29" s="9" t="s">
        <v>306</v>
      </c>
      <c r="EY29" s="9" t="s">
        <v>318</v>
      </c>
      <c r="EZ29" s="9" t="s">
        <v>306</v>
      </c>
      <c r="FA29" s="9" t="s">
        <v>306</v>
      </c>
      <c r="FB29" s="9" t="s">
        <v>319</v>
      </c>
      <c r="FC29" s="9">
        <v>2</v>
      </c>
      <c r="FD29" s="9">
        <v>2</v>
      </c>
      <c r="FE29" s="9" t="s">
        <v>377</v>
      </c>
      <c r="FF29" s="9" t="s">
        <v>352</v>
      </c>
      <c r="FG29" s="9" t="s">
        <v>492</v>
      </c>
      <c r="FH29" s="9" t="s">
        <v>306</v>
      </c>
      <c r="FI29" s="9"/>
      <c r="FJ29" s="9" t="s">
        <v>306</v>
      </c>
      <c r="FK29" s="9"/>
      <c r="FL29" s="9"/>
      <c r="FM29" s="9"/>
      <c r="FN29" s="9"/>
      <c r="FO29" s="9"/>
      <c r="FP29" s="9"/>
      <c r="FQ29" s="9" t="s">
        <v>609</v>
      </c>
      <c r="FR29" s="9" t="s">
        <v>306</v>
      </c>
      <c r="FS29" s="9"/>
      <c r="FT29" s="9"/>
      <c r="FU29" s="9"/>
      <c r="FV29" s="9" t="s">
        <v>306</v>
      </c>
      <c r="FW29" s="9" t="s">
        <v>306</v>
      </c>
      <c r="FX29" s="9"/>
      <c r="FY29" s="9"/>
      <c r="FZ29" s="9" t="s">
        <v>378</v>
      </c>
      <c r="GA29" s="9" t="s">
        <v>324</v>
      </c>
      <c r="GB29" s="9" t="s">
        <v>306</v>
      </c>
      <c r="GC29" s="9" t="s">
        <v>306</v>
      </c>
      <c r="GD29" s="9"/>
      <c r="GE29" s="9"/>
      <c r="GF29" s="9"/>
      <c r="GG29" s="9"/>
      <c r="GH29" s="9"/>
      <c r="GI29" s="9" t="s">
        <v>325</v>
      </c>
      <c r="GJ29" s="9" t="s">
        <v>306</v>
      </c>
      <c r="GK29" s="9">
        <v>2.33</v>
      </c>
      <c r="GL29" s="9" t="s">
        <v>356</v>
      </c>
      <c r="GM29" s="9" t="s">
        <v>306</v>
      </c>
      <c r="GN29" s="9"/>
      <c r="GO29" s="9"/>
      <c r="GP29" s="9" t="s">
        <v>306</v>
      </c>
      <c r="GQ29" s="9"/>
      <c r="GR29" s="9" t="s">
        <v>306</v>
      </c>
      <c r="GS29" s="9">
        <v>12</v>
      </c>
      <c r="GT29" s="9" t="s">
        <v>393</v>
      </c>
      <c r="GU29" s="9" t="s">
        <v>306</v>
      </c>
      <c r="GV29" s="9" t="s">
        <v>306</v>
      </c>
      <c r="GW29" s="9"/>
      <c r="GX29" s="9"/>
      <c r="GY29" s="9"/>
      <c r="GZ29" s="9" t="s">
        <v>306</v>
      </c>
      <c r="HA29" s="9"/>
      <c r="HB29" s="9"/>
      <c r="HC29" s="9"/>
      <c r="HD29" s="9"/>
      <c r="HE29" s="9"/>
      <c r="HF29" s="9" t="s">
        <v>62</v>
      </c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 t="s">
        <v>306</v>
      </c>
      <c r="HR29" s="9">
        <v>35</v>
      </c>
      <c r="HS29" s="9">
        <v>0</v>
      </c>
      <c r="HT29" s="9">
        <v>0</v>
      </c>
      <c r="HU29" s="9">
        <v>0</v>
      </c>
      <c r="HV29" s="9">
        <v>65</v>
      </c>
      <c r="HW29" s="9" t="s">
        <v>610</v>
      </c>
      <c r="HX29" s="9" t="s">
        <v>306</v>
      </c>
      <c r="HY29" s="9" t="s">
        <v>306</v>
      </c>
      <c r="HZ29" s="9"/>
      <c r="IA29" s="9"/>
      <c r="IB29" s="9" t="s">
        <v>306</v>
      </c>
      <c r="IC29" s="9"/>
      <c r="ID29" s="9" t="s">
        <v>306</v>
      </c>
      <c r="IE29" s="9" t="s">
        <v>306</v>
      </c>
      <c r="IF29" s="9"/>
      <c r="IG29" s="9"/>
      <c r="IH29" s="9" t="s">
        <v>330</v>
      </c>
      <c r="II29" s="9" t="s">
        <v>383</v>
      </c>
      <c r="IJ29" s="9" t="s">
        <v>611</v>
      </c>
      <c r="IK29" s="9" t="s">
        <v>306</v>
      </c>
      <c r="IL29" s="9" t="s">
        <v>306</v>
      </c>
      <c r="IM29" s="9"/>
      <c r="IN29" s="9"/>
      <c r="IO29" s="9"/>
      <c r="IP29" s="9"/>
      <c r="IQ29" s="9"/>
      <c r="IR29" s="9"/>
      <c r="IS29" s="9"/>
      <c r="IT29" s="9" t="s">
        <v>306</v>
      </c>
      <c r="IU29" s="9" t="s">
        <v>498</v>
      </c>
      <c r="IV29" s="9" t="s">
        <v>386</v>
      </c>
      <c r="IW29" s="9" t="s">
        <v>306</v>
      </c>
      <c r="IX29" s="9" t="s">
        <v>306</v>
      </c>
      <c r="IY29" s="9" t="s">
        <v>306</v>
      </c>
      <c r="IZ29" s="9"/>
      <c r="JA29" s="9"/>
      <c r="JB29" s="9">
        <v>1</v>
      </c>
      <c r="JC29" s="9">
        <v>2</v>
      </c>
      <c r="JD29" s="9">
        <v>90</v>
      </c>
      <c r="JE29" s="9">
        <v>30</v>
      </c>
      <c r="JF29" s="9">
        <v>15</v>
      </c>
      <c r="JG29" s="9">
        <v>5</v>
      </c>
      <c r="JH29" s="9">
        <v>2</v>
      </c>
      <c r="JI29" s="9" t="s">
        <v>556</v>
      </c>
      <c r="JJ29" s="9" t="s">
        <v>306</v>
      </c>
      <c r="JK29" s="9" t="s">
        <v>306</v>
      </c>
      <c r="JL29" s="9"/>
      <c r="JM29" s="9" t="s">
        <v>306</v>
      </c>
      <c r="JN29" s="9"/>
      <c r="JO29" s="9" t="s">
        <v>306</v>
      </c>
      <c r="JP29" s="9" t="s">
        <v>306</v>
      </c>
      <c r="JQ29" s="9" t="s">
        <v>306</v>
      </c>
      <c r="JR29" s="9" t="s">
        <v>306</v>
      </c>
      <c r="JS29" s="9" t="s">
        <v>306</v>
      </c>
      <c r="JT29" s="9" t="s">
        <v>612</v>
      </c>
      <c r="JU29" s="9" t="s">
        <v>306</v>
      </c>
      <c r="JV29" s="9" t="s">
        <v>306</v>
      </c>
      <c r="JW29" s="9" t="s">
        <v>306</v>
      </c>
      <c r="JX29" s="9" t="s">
        <v>306</v>
      </c>
      <c r="JY29" s="9" t="s">
        <v>306</v>
      </c>
      <c r="JZ29" s="9" t="s">
        <v>306</v>
      </c>
      <c r="KA29" s="9" t="s">
        <v>306</v>
      </c>
      <c r="KB29" s="9" t="s">
        <v>534</v>
      </c>
      <c r="KC29" s="9" t="s">
        <v>306</v>
      </c>
      <c r="KD29" s="9" t="s">
        <v>306</v>
      </c>
      <c r="KE29" s="9" t="s">
        <v>306</v>
      </c>
      <c r="KF29" s="9"/>
      <c r="KG29" s="9" t="s">
        <v>337</v>
      </c>
      <c r="KH29" s="9" t="s">
        <v>364</v>
      </c>
      <c r="KI29" s="9" t="s">
        <v>339</v>
      </c>
      <c r="KJ29" s="9" t="s">
        <v>306</v>
      </c>
      <c r="KK29" s="9" t="s">
        <v>613</v>
      </c>
      <c r="KL29" s="9" t="s">
        <v>306</v>
      </c>
      <c r="KM29" s="9" t="s">
        <v>306</v>
      </c>
      <c r="KN29" s="9"/>
      <c r="KO29" s="9" t="s">
        <v>306</v>
      </c>
      <c r="KP29" s="9" t="s">
        <v>306</v>
      </c>
      <c r="KQ29" s="9"/>
      <c r="KR29" s="9"/>
      <c r="KS29" s="9"/>
      <c r="KT29" s="9"/>
      <c r="KU29" s="9">
        <v>15</v>
      </c>
      <c r="KV29" s="9">
        <v>2.7</v>
      </c>
      <c r="KW29" s="9">
        <v>2.7</v>
      </c>
      <c r="KX29" s="9">
        <v>3</v>
      </c>
      <c r="KY29" s="9" t="s">
        <v>365</v>
      </c>
      <c r="KZ29" s="9" t="s">
        <v>306</v>
      </c>
      <c r="LA29" s="9" t="s">
        <v>306</v>
      </c>
      <c r="LB29" s="9" t="s">
        <v>306</v>
      </c>
      <c r="LC29" s="9" t="s">
        <v>306</v>
      </c>
      <c r="LD29" s="9" t="s">
        <v>306</v>
      </c>
      <c r="LE29" s="9"/>
      <c r="LF29" s="9"/>
      <c r="LG29" s="9" t="s">
        <v>341</v>
      </c>
      <c r="LH29" s="9" t="s">
        <v>341</v>
      </c>
      <c r="LI29" s="9" t="s">
        <v>341</v>
      </c>
      <c r="LJ29" s="9" t="s">
        <v>307</v>
      </c>
      <c r="LK29" s="9" t="s">
        <v>342</v>
      </c>
    </row>
    <row r="30" spans="1:323" x14ac:dyDescent="0.3">
      <c r="A30" s="8"/>
      <c r="B30" s="9" t="s">
        <v>614</v>
      </c>
      <c r="C30" s="9" t="s">
        <v>302</v>
      </c>
      <c r="D30" s="9" t="s">
        <v>634</v>
      </c>
      <c r="E30" s="9" t="s">
        <v>343</v>
      </c>
      <c r="F30" s="9" t="s">
        <v>303</v>
      </c>
      <c r="G30" s="9" t="s">
        <v>304</v>
      </c>
      <c r="H30" s="9" t="s">
        <v>369</v>
      </c>
      <c r="I30" s="9" t="s">
        <v>304</v>
      </c>
      <c r="J30" s="9" t="s">
        <v>371</v>
      </c>
      <c r="K30" s="9" t="s">
        <v>306</v>
      </c>
      <c r="L30" s="9" t="s">
        <v>306</v>
      </c>
      <c r="M30" s="9" t="s">
        <v>306</v>
      </c>
      <c r="N30" s="9" t="s">
        <v>306</v>
      </c>
      <c r="O30" s="9" t="s">
        <v>306</v>
      </c>
      <c r="P30" s="9" t="s">
        <v>306</v>
      </c>
      <c r="Q30" s="9"/>
      <c r="R30" s="9" t="s">
        <v>306</v>
      </c>
      <c r="S30" s="9">
        <v>58</v>
      </c>
      <c r="T30" s="9">
        <v>40</v>
      </c>
      <c r="U30" s="9" t="s">
        <v>308</v>
      </c>
      <c r="V30" s="9" t="s">
        <v>467</v>
      </c>
      <c r="W30" s="9" t="s">
        <v>346</v>
      </c>
      <c r="X30" s="10">
        <v>100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100</v>
      </c>
      <c r="AE30" s="10">
        <v>0</v>
      </c>
      <c r="AF30" s="10">
        <v>0</v>
      </c>
      <c r="AG30" s="10">
        <v>0</v>
      </c>
      <c r="AH30" s="10">
        <v>0</v>
      </c>
      <c r="AI30" s="9" t="s">
        <v>307</v>
      </c>
      <c r="AJ30" s="9">
        <v>100</v>
      </c>
      <c r="AK30" s="9">
        <v>0</v>
      </c>
      <c r="AL30" s="9">
        <v>0</v>
      </c>
      <c r="AM30" s="9">
        <v>0</v>
      </c>
      <c r="AN30" s="9">
        <v>0</v>
      </c>
      <c r="AO30" s="9"/>
      <c r="AP30" s="9"/>
      <c r="AQ30" s="9"/>
      <c r="AR30" s="9" t="s">
        <v>50</v>
      </c>
      <c r="AS30" s="9"/>
      <c r="AT30" s="9"/>
      <c r="AU30" s="9"/>
      <c r="AV30" s="9"/>
      <c r="AW30" s="9"/>
      <c r="AX30" s="9"/>
      <c r="AY30" s="9"/>
      <c r="AZ30" s="9"/>
      <c r="BA30" s="9"/>
      <c r="BB30" s="9" t="s">
        <v>306</v>
      </c>
      <c r="BC30" s="9" t="s">
        <v>400</v>
      </c>
      <c r="BD30" s="9" t="s">
        <v>306</v>
      </c>
      <c r="BE30" s="9" t="s">
        <v>56</v>
      </c>
      <c r="BF30" s="9"/>
      <c r="BG30" s="9"/>
      <c r="BH30" s="9" t="s">
        <v>306</v>
      </c>
      <c r="BI30" s="9"/>
      <c r="BJ30" s="9"/>
      <c r="BK30" s="9"/>
      <c r="BL30" s="9"/>
      <c r="BM30" s="9"/>
      <c r="BN30" s="9"/>
      <c r="BO30" s="9" t="s">
        <v>426</v>
      </c>
      <c r="BP30" s="9" t="s">
        <v>306</v>
      </c>
      <c r="BQ30" s="9" t="s">
        <v>306</v>
      </c>
      <c r="BR30" s="9"/>
      <c r="BS30" s="9"/>
      <c r="BT30" s="9"/>
      <c r="BU30" s="9" t="s">
        <v>306</v>
      </c>
      <c r="BV30" s="9"/>
      <c r="BW30" s="9"/>
      <c r="BX30" s="9"/>
      <c r="BY30" s="9"/>
      <c r="BZ30" s="9"/>
      <c r="CA30" s="9"/>
      <c r="CB30" s="9" t="s">
        <v>615</v>
      </c>
      <c r="CC30" s="9"/>
      <c r="CD30" s="9"/>
      <c r="CE30" s="9"/>
      <c r="CF30" s="9" t="s">
        <v>306</v>
      </c>
      <c r="CG30" s="9"/>
      <c r="CH30" s="9" t="s">
        <v>306</v>
      </c>
      <c r="CI30" s="9" t="s">
        <v>306</v>
      </c>
      <c r="CJ30" s="9"/>
      <c r="CK30" s="9"/>
      <c r="CL30" s="9" t="s">
        <v>314</v>
      </c>
      <c r="CM30" s="9" t="s">
        <v>351</v>
      </c>
      <c r="CN30" s="9" t="s">
        <v>306</v>
      </c>
      <c r="CO30" s="9" t="s">
        <v>89</v>
      </c>
      <c r="CP30" s="9"/>
      <c r="CQ30" s="9"/>
      <c r="CR30" s="9"/>
      <c r="CS30" s="9" t="s">
        <v>306</v>
      </c>
      <c r="CT30" s="9"/>
      <c r="CU30" s="9"/>
      <c r="CV30" s="9"/>
      <c r="CW30" s="9" t="s">
        <v>99</v>
      </c>
      <c r="CX30" s="9"/>
      <c r="CY30" s="9"/>
      <c r="CZ30" s="9"/>
      <c r="DA30" s="9"/>
      <c r="DB30" s="9"/>
      <c r="DC30" s="9" t="s">
        <v>306</v>
      </c>
      <c r="DD30" s="11">
        <v>3600</v>
      </c>
      <c r="DE30" s="11">
        <v>3200</v>
      </c>
      <c r="DF30" s="11">
        <v>4000</v>
      </c>
      <c r="DG30" s="12">
        <v>19</v>
      </c>
      <c r="DH30" s="9">
        <v>19</v>
      </c>
      <c r="DI30" s="9">
        <v>19</v>
      </c>
      <c r="DJ30" s="9">
        <v>96.7</v>
      </c>
      <c r="DK30" s="9">
        <v>0</v>
      </c>
      <c r="DL30" s="9">
        <v>0</v>
      </c>
      <c r="DM30" s="9">
        <v>0.3</v>
      </c>
      <c r="DN30" s="9">
        <v>3</v>
      </c>
      <c r="DO30" s="9">
        <v>400</v>
      </c>
      <c r="DP30" s="9">
        <v>400</v>
      </c>
      <c r="DQ30" s="9" t="s">
        <v>306</v>
      </c>
      <c r="DR30" s="9" t="s">
        <v>306</v>
      </c>
      <c r="DS30" s="9" t="s">
        <v>307</v>
      </c>
      <c r="DT30" s="10">
        <v>0.19726027397260273</v>
      </c>
      <c r="DU30" s="10">
        <v>9</v>
      </c>
      <c r="DV30" s="10">
        <f t="shared" si="1"/>
        <v>9.1972602739726028</v>
      </c>
      <c r="DW30" s="9">
        <v>150</v>
      </c>
      <c r="DX30" s="9">
        <v>60</v>
      </c>
      <c r="DY30" s="9">
        <v>20</v>
      </c>
      <c r="DZ30" s="9">
        <v>0</v>
      </c>
      <c r="EA30" s="9">
        <v>60</v>
      </c>
      <c r="EB30" s="9">
        <v>60</v>
      </c>
      <c r="EC30" s="9">
        <v>0</v>
      </c>
      <c r="ED30" s="9">
        <v>18</v>
      </c>
      <c r="EE30" s="9">
        <v>0</v>
      </c>
      <c r="EF30" s="9">
        <v>0</v>
      </c>
      <c r="EG30" s="9">
        <v>0</v>
      </c>
      <c r="EH30" s="9">
        <v>89</v>
      </c>
      <c r="EI30" s="9">
        <v>0</v>
      </c>
      <c r="EJ30" s="9">
        <v>0</v>
      </c>
      <c r="EK30" s="9">
        <v>0</v>
      </c>
      <c r="EL30" s="9">
        <v>11</v>
      </c>
      <c r="EM30" s="9">
        <v>0</v>
      </c>
      <c r="EN30" s="9">
        <v>0</v>
      </c>
      <c r="EO30" s="9">
        <v>0</v>
      </c>
      <c r="EP30" s="9">
        <v>100</v>
      </c>
      <c r="EQ30" s="9">
        <v>0</v>
      </c>
      <c r="ER30" s="9">
        <v>0</v>
      </c>
      <c r="ES30" s="9">
        <v>0</v>
      </c>
      <c r="ET30" s="9">
        <v>0</v>
      </c>
      <c r="EU30" s="9">
        <v>0</v>
      </c>
      <c r="EV30" s="9" t="s">
        <v>317</v>
      </c>
      <c r="EW30" s="9" t="s">
        <v>306</v>
      </c>
      <c r="EX30" s="9" t="s">
        <v>306</v>
      </c>
      <c r="EY30" s="9" t="s">
        <v>318</v>
      </c>
      <c r="EZ30" s="9" t="s">
        <v>306</v>
      </c>
      <c r="FA30" s="9" t="s">
        <v>306</v>
      </c>
      <c r="FB30" s="9" t="s">
        <v>319</v>
      </c>
      <c r="FC30" s="9">
        <v>2</v>
      </c>
      <c r="FD30" s="9">
        <v>2</v>
      </c>
      <c r="FE30" s="9" t="s">
        <v>320</v>
      </c>
      <c r="FF30" s="9" t="s">
        <v>321</v>
      </c>
      <c r="FG30" s="9" t="s">
        <v>156</v>
      </c>
      <c r="FH30" s="9" t="s">
        <v>306</v>
      </c>
      <c r="FI30" s="9"/>
      <c r="FJ30" s="9"/>
      <c r="FK30" s="9"/>
      <c r="FL30" s="9"/>
      <c r="FM30" s="9"/>
      <c r="FN30" s="9"/>
      <c r="FO30" s="9"/>
      <c r="FP30" s="9"/>
      <c r="FQ30" s="9" t="s">
        <v>482</v>
      </c>
      <c r="FR30" s="9"/>
      <c r="FS30" s="9"/>
      <c r="FT30" s="9"/>
      <c r="FU30" s="9"/>
      <c r="FV30" s="9"/>
      <c r="FW30" s="9"/>
      <c r="FX30" s="9"/>
      <c r="FY30" s="9"/>
      <c r="FZ30" s="9" t="s">
        <v>323</v>
      </c>
      <c r="GA30" s="9" t="s">
        <v>616</v>
      </c>
      <c r="GB30" s="9" t="s">
        <v>306</v>
      </c>
      <c r="GC30" s="9" t="s">
        <v>306</v>
      </c>
      <c r="GD30" s="9"/>
      <c r="GE30" s="9"/>
      <c r="GF30" s="9"/>
      <c r="GG30" s="9" t="s">
        <v>306</v>
      </c>
      <c r="GH30" s="9"/>
      <c r="GI30" s="9" t="s">
        <v>440</v>
      </c>
      <c r="GJ30" s="9" t="s">
        <v>306</v>
      </c>
      <c r="GK30" s="9">
        <v>2.39</v>
      </c>
      <c r="GL30" s="9" t="s">
        <v>187</v>
      </c>
      <c r="GM30" s="9" t="s">
        <v>306</v>
      </c>
      <c r="GN30" s="9"/>
      <c r="GO30" s="9"/>
      <c r="GP30" s="9"/>
      <c r="GQ30" s="9"/>
      <c r="GR30" s="9"/>
      <c r="GS30" s="9">
        <v>48</v>
      </c>
      <c r="GT30" s="9" t="s">
        <v>417</v>
      </c>
      <c r="GU30" s="9" t="s">
        <v>306</v>
      </c>
      <c r="GV30" s="9"/>
      <c r="GW30" s="9"/>
      <c r="GX30" s="9" t="s">
        <v>306</v>
      </c>
      <c r="GY30" s="9"/>
      <c r="GZ30" s="9"/>
      <c r="HA30" s="9"/>
      <c r="HB30" s="9"/>
      <c r="HC30" s="9"/>
      <c r="HD30" s="9" t="s">
        <v>306</v>
      </c>
      <c r="HE30" s="9"/>
      <c r="HF30" s="9" t="s">
        <v>77</v>
      </c>
      <c r="HG30" s="9"/>
      <c r="HH30" s="9"/>
      <c r="HI30" s="9"/>
      <c r="HJ30" s="9"/>
      <c r="HK30" s="9" t="s">
        <v>306</v>
      </c>
      <c r="HL30" s="9"/>
      <c r="HM30" s="9"/>
      <c r="HN30" s="9"/>
      <c r="HO30" s="9"/>
      <c r="HP30" s="9"/>
      <c r="HQ30" s="9"/>
      <c r="HR30" s="9">
        <v>0</v>
      </c>
      <c r="HS30" s="9">
        <v>100</v>
      </c>
      <c r="HT30" s="9">
        <v>0</v>
      </c>
      <c r="HU30" s="9">
        <v>0</v>
      </c>
      <c r="HV30" s="9">
        <v>0</v>
      </c>
      <c r="HW30" s="9" t="s">
        <v>472</v>
      </c>
      <c r="HX30" s="9" t="s">
        <v>306</v>
      </c>
      <c r="HY30" s="9" t="s">
        <v>306</v>
      </c>
      <c r="HZ30" s="9" t="s">
        <v>306</v>
      </c>
      <c r="IA30" s="9"/>
      <c r="IB30" s="9" t="s">
        <v>306</v>
      </c>
      <c r="IC30" s="9"/>
      <c r="ID30" s="9"/>
      <c r="IE30" s="9" t="s">
        <v>306</v>
      </c>
      <c r="IF30" s="9"/>
      <c r="IG30" s="9"/>
      <c r="IH30" s="9" t="s">
        <v>330</v>
      </c>
      <c r="II30" s="9" t="s">
        <v>383</v>
      </c>
      <c r="IJ30" s="9" t="s">
        <v>617</v>
      </c>
      <c r="IK30" s="9"/>
      <c r="IL30" s="9" t="s">
        <v>306</v>
      </c>
      <c r="IM30" s="9" t="s">
        <v>306</v>
      </c>
      <c r="IN30" s="9" t="s">
        <v>306</v>
      </c>
      <c r="IO30" s="9"/>
      <c r="IP30" s="9" t="s">
        <v>306</v>
      </c>
      <c r="IQ30" s="9"/>
      <c r="IR30" s="9"/>
      <c r="IS30" s="9"/>
      <c r="IT30" s="9" t="s">
        <v>306</v>
      </c>
      <c r="IU30" s="9" t="s">
        <v>498</v>
      </c>
      <c r="IV30" s="9" t="s">
        <v>386</v>
      </c>
      <c r="IW30" s="9" t="s">
        <v>306</v>
      </c>
      <c r="IX30" s="9" t="s">
        <v>306</v>
      </c>
      <c r="IY30" s="9" t="s">
        <v>306</v>
      </c>
      <c r="IZ30" s="9"/>
      <c r="JA30" s="9"/>
      <c r="JB30" s="9">
        <v>0</v>
      </c>
      <c r="JC30" s="9">
        <v>3</v>
      </c>
      <c r="JD30" s="9">
        <v>100</v>
      </c>
      <c r="JE30" s="9">
        <v>32</v>
      </c>
      <c r="JF30" s="9">
        <v>12</v>
      </c>
      <c r="JG30" s="9">
        <v>5</v>
      </c>
      <c r="JH30" s="9">
        <v>3</v>
      </c>
      <c r="JI30" s="9" t="s">
        <v>618</v>
      </c>
      <c r="JJ30" s="9" t="s">
        <v>306</v>
      </c>
      <c r="JK30" s="9" t="s">
        <v>306</v>
      </c>
      <c r="JL30" s="9"/>
      <c r="JM30" s="9" t="s">
        <v>306</v>
      </c>
      <c r="JN30" s="9"/>
      <c r="JO30" s="9"/>
      <c r="JP30" s="9" t="s">
        <v>306</v>
      </c>
      <c r="JQ30" s="9" t="s">
        <v>306</v>
      </c>
      <c r="JR30" s="9"/>
      <c r="JS30" s="9" t="s">
        <v>306</v>
      </c>
      <c r="JT30" s="9" t="s">
        <v>362</v>
      </c>
      <c r="JU30" s="9" t="s">
        <v>306</v>
      </c>
      <c r="JV30" s="9" t="s">
        <v>306</v>
      </c>
      <c r="JW30" s="9" t="s">
        <v>306</v>
      </c>
      <c r="JX30" s="9"/>
      <c r="JY30" s="9"/>
      <c r="JZ30" s="9" t="s">
        <v>306</v>
      </c>
      <c r="KA30" s="9" t="s">
        <v>306</v>
      </c>
      <c r="KB30" s="9" t="s">
        <v>269</v>
      </c>
      <c r="KC30" s="9"/>
      <c r="KD30" s="9"/>
      <c r="KE30" s="9"/>
      <c r="KF30" s="9" t="s">
        <v>306</v>
      </c>
      <c r="KG30" s="9" t="s">
        <v>337</v>
      </c>
      <c r="KH30" s="9" t="s">
        <v>619</v>
      </c>
      <c r="KI30" s="9" t="s">
        <v>339</v>
      </c>
      <c r="KJ30" s="9" t="s">
        <v>306</v>
      </c>
      <c r="KK30" s="9" t="s">
        <v>278</v>
      </c>
      <c r="KL30" s="9"/>
      <c r="KM30" s="9"/>
      <c r="KN30" s="9"/>
      <c r="KO30" s="9" t="s">
        <v>306</v>
      </c>
      <c r="KP30" s="9"/>
      <c r="KQ30" s="9"/>
      <c r="KR30" s="9"/>
      <c r="KS30" s="9"/>
      <c r="KT30" s="9"/>
      <c r="KU30" s="9">
        <v>40</v>
      </c>
      <c r="KV30" s="9">
        <v>2.6</v>
      </c>
      <c r="KW30" s="9">
        <v>2.6</v>
      </c>
      <c r="KX30" s="9">
        <v>3.2</v>
      </c>
      <c r="KY30" s="9" t="s">
        <v>365</v>
      </c>
      <c r="KZ30" s="9" t="s">
        <v>306</v>
      </c>
      <c r="LA30" s="9" t="s">
        <v>306</v>
      </c>
      <c r="LB30" s="9" t="s">
        <v>306</v>
      </c>
      <c r="LC30" s="9" t="s">
        <v>306</v>
      </c>
      <c r="LD30" s="9" t="s">
        <v>306</v>
      </c>
      <c r="LE30" s="9"/>
      <c r="LF30" s="9"/>
      <c r="LG30" s="9" t="s">
        <v>341</v>
      </c>
      <c r="LH30" s="9" t="s">
        <v>341</v>
      </c>
      <c r="LI30" s="9" t="s">
        <v>341</v>
      </c>
      <c r="LJ30" s="9" t="s">
        <v>307</v>
      </c>
      <c r="LK30" s="9" t="s">
        <v>477</v>
      </c>
    </row>
    <row r="31" spans="1:323" x14ac:dyDescent="0.3">
      <c r="A31" s="8"/>
      <c r="B31" s="9" t="s">
        <v>620</v>
      </c>
      <c r="C31" s="9" t="s">
        <v>302</v>
      </c>
      <c r="D31" s="9" t="s">
        <v>634</v>
      </c>
      <c r="E31" s="9" t="s">
        <v>343</v>
      </c>
      <c r="F31" s="9" t="s">
        <v>303</v>
      </c>
      <c r="G31" s="9" t="s">
        <v>304</v>
      </c>
      <c r="H31" s="9" t="s">
        <v>369</v>
      </c>
      <c r="I31" s="9" t="s">
        <v>304</v>
      </c>
      <c r="J31" s="9" t="s">
        <v>621</v>
      </c>
      <c r="K31" s="9"/>
      <c r="L31" s="9" t="s">
        <v>306</v>
      </c>
      <c r="M31" s="9" t="s">
        <v>306</v>
      </c>
      <c r="N31" s="9"/>
      <c r="O31" s="9" t="s">
        <v>306</v>
      </c>
      <c r="P31" s="9" t="s">
        <v>306</v>
      </c>
      <c r="Q31" s="9"/>
      <c r="R31" s="9" t="s">
        <v>306</v>
      </c>
      <c r="S31" s="9">
        <v>55</v>
      </c>
      <c r="T31" s="9">
        <v>15</v>
      </c>
      <c r="U31" s="9" t="s">
        <v>308</v>
      </c>
      <c r="V31" s="9" t="s">
        <v>372</v>
      </c>
      <c r="W31" s="9" t="s">
        <v>310</v>
      </c>
      <c r="X31" s="10">
        <v>52</v>
      </c>
      <c r="Y31" s="10">
        <v>48</v>
      </c>
      <c r="Z31" s="10">
        <v>0</v>
      </c>
      <c r="AA31" s="10">
        <v>0</v>
      </c>
      <c r="AB31" s="10">
        <v>0</v>
      </c>
      <c r="AC31" s="10">
        <v>0</v>
      </c>
      <c r="AD31" s="10">
        <v>11</v>
      </c>
      <c r="AE31" s="10">
        <v>89</v>
      </c>
      <c r="AF31" s="10">
        <v>0</v>
      </c>
      <c r="AG31" s="10">
        <v>0</v>
      </c>
      <c r="AH31" s="10">
        <v>0</v>
      </c>
      <c r="AI31" s="9" t="s">
        <v>307</v>
      </c>
      <c r="AJ31" s="9">
        <v>80</v>
      </c>
      <c r="AK31" s="9">
        <v>0</v>
      </c>
      <c r="AL31" s="9">
        <v>0</v>
      </c>
      <c r="AM31" s="9">
        <v>0</v>
      </c>
      <c r="AN31" s="9">
        <v>20</v>
      </c>
      <c r="AO31" s="9"/>
      <c r="AP31" s="9"/>
      <c r="AQ31" s="9"/>
      <c r="AR31" s="9" t="s">
        <v>50</v>
      </c>
      <c r="AS31" s="9"/>
      <c r="AT31" s="9"/>
      <c r="AU31" s="9"/>
      <c r="AV31" s="9"/>
      <c r="AW31" s="9"/>
      <c r="AX31" s="9"/>
      <c r="AY31" s="9"/>
      <c r="AZ31" s="9"/>
      <c r="BA31" s="9"/>
      <c r="BB31" s="9" t="s">
        <v>306</v>
      </c>
      <c r="BC31" s="9" t="s">
        <v>574</v>
      </c>
      <c r="BD31" s="9" t="s">
        <v>306</v>
      </c>
      <c r="BE31" s="9" t="s">
        <v>622</v>
      </c>
      <c r="BF31" s="9"/>
      <c r="BG31" s="9"/>
      <c r="BH31" s="9"/>
      <c r="BI31" s="9" t="s">
        <v>306</v>
      </c>
      <c r="BJ31" s="9" t="s">
        <v>306</v>
      </c>
      <c r="BK31" s="9"/>
      <c r="BL31" s="9"/>
      <c r="BM31" s="9"/>
      <c r="BN31" s="9"/>
      <c r="BO31" s="9" t="s">
        <v>581</v>
      </c>
      <c r="BP31" s="9" t="s">
        <v>306</v>
      </c>
      <c r="BQ31" s="9"/>
      <c r="BR31" s="9"/>
      <c r="BS31" s="9"/>
      <c r="BT31" s="9"/>
      <c r="BU31" s="9" t="s">
        <v>306</v>
      </c>
      <c r="BV31" s="9"/>
      <c r="BW31" s="9"/>
      <c r="BX31" s="9" t="s">
        <v>306</v>
      </c>
      <c r="BY31" s="9"/>
      <c r="BZ31" s="9"/>
      <c r="CA31" s="9"/>
      <c r="CB31" s="9" t="s">
        <v>623</v>
      </c>
      <c r="CC31" s="9"/>
      <c r="CD31" s="9"/>
      <c r="CE31" s="9" t="s">
        <v>306</v>
      </c>
      <c r="CF31" s="9" t="s">
        <v>306</v>
      </c>
      <c r="CG31" s="9"/>
      <c r="CH31" s="9"/>
      <c r="CI31" s="9"/>
      <c r="CJ31" s="9"/>
      <c r="CK31" s="9"/>
      <c r="CL31" s="9" t="s">
        <v>314</v>
      </c>
      <c r="CM31" s="9" t="s">
        <v>351</v>
      </c>
      <c r="CN31" s="9" t="s">
        <v>306</v>
      </c>
      <c r="CO31" s="9" t="s">
        <v>44</v>
      </c>
      <c r="CP31" s="9"/>
      <c r="CQ31" s="9"/>
      <c r="CR31" s="9" t="s">
        <v>306</v>
      </c>
      <c r="CS31" s="9"/>
      <c r="CT31" s="9"/>
      <c r="CU31" s="9"/>
      <c r="CV31" s="9"/>
      <c r="CW31" s="9" t="s">
        <v>99</v>
      </c>
      <c r="CX31" s="9"/>
      <c r="CY31" s="9"/>
      <c r="CZ31" s="9"/>
      <c r="DA31" s="9"/>
      <c r="DB31" s="9"/>
      <c r="DC31" s="9" t="s">
        <v>306</v>
      </c>
      <c r="DD31" s="11">
        <v>3000</v>
      </c>
      <c r="DE31" s="11">
        <v>3000</v>
      </c>
      <c r="DF31" s="11">
        <v>3000</v>
      </c>
      <c r="DG31" s="12">
        <v>30</v>
      </c>
      <c r="DH31" s="9">
        <v>30</v>
      </c>
      <c r="DI31" s="9">
        <v>30</v>
      </c>
      <c r="DJ31" s="9">
        <v>96.95</v>
      </c>
      <c r="DK31" s="9">
        <v>0</v>
      </c>
      <c r="DL31" s="9">
        <v>0</v>
      </c>
      <c r="DM31" s="9">
        <v>0.05</v>
      </c>
      <c r="DN31" s="9">
        <v>3</v>
      </c>
      <c r="DO31" s="9">
        <v>105</v>
      </c>
      <c r="DP31" s="9">
        <v>70</v>
      </c>
      <c r="DQ31" s="9" t="s">
        <v>306</v>
      </c>
      <c r="DR31" s="9" t="s">
        <v>306</v>
      </c>
      <c r="DS31" s="9" t="s">
        <v>307</v>
      </c>
      <c r="DT31" s="10">
        <v>0.98630136986301364</v>
      </c>
      <c r="DU31" s="10">
        <v>10</v>
      </c>
      <c r="DV31" s="10">
        <f t="shared" si="1"/>
        <v>10.986301369863014</v>
      </c>
      <c r="DW31" s="9">
        <v>100</v>
      </c>
      <c r="DX31" s="9">
        <v>20</v>
      </c>
      <c r="DY31" s="9">
        <v>12</v>
      </c>
      <c r="DZ31" s="9">
        <v>7</v>
      </c>
      <c r="EA31" s="9">
        <v>40</v>
      </c>
      <c r="EB31" s="9">
        <v>40</v>
      </c>
      <c r="EC31" s="9">
        <v>0</v>
      </c>
      <c r="ED31" s="9">
        <v>1</v>
      </c>
      <c r="EE31" s="9">
        <v>1</v>
      </c>
      <c r="EF31" s="9">
        <v>0</v>
      </c>
      <c r="EG31" s="9">
        <v>0</v>
      </c>
      <c r="EH31" s="9">
        <v>95</v>
      </c>
      <c r="EI31" s="9">
        <v>0</v>
      </c>
      <c r="EJ31" s="9">
        <v>5</v>
      </c>
      <c r="EK31" s="9">
        <v>0</v>
      </c>
      <c r="EL31" s="9">
        <v>0</v>
      </c>
      <c r="EM31" s="9">
        <v>0</v>
      </c>
      <c r="EN31" s="9">
        <v>0</v>
      </c>
      <c r="EO31" s="9">
        <v>33</v>
      </c>
      <c r="EP31" s="9">
        <v>33</v>
      </c>
      <c r="EQ31" s="9">
        <v>34</v>
      </c>
      <c r="ER31" s="9">
        <v>0</v>
      </c>
      <c r="ES31" s="9">
        <v>0</v>
      </c>
      <c r="ET31" s="9">
        <v>0</v>
      </c>
      <c r="EU31" s="9">
        <v>0</v>
      </c>
      <c r="EV31" s="9" t="s">
        <v>317</v>
      </c>
      <c r="EW31" s="9" t="s">
        <v>306</v>
      </c>
      <c r="EX31" s="9" t="s">
        <v>306</v>
      </c>
      <c r="EY31" s="9" t="s">
        <v>318</v>
      </c>
      <c r="EZ31" s="9" t="s">
        <v>306</v>
      </c>
      <c r="FA31" s="9" t="s">
        <v>306</v>
      </c>
      <c r="FB31" s="9" t="s">
        <v>319</v>
      </c>
      <c r="FC31" s="9">
        <v>2</v>
      </c>
      <c r="FD31" s="9">
        <v>2</v>
      </c>
      <c r="FE31" s="9" t="s">
        <v>320</v>
      </c>
      <c r="FF31" s="9" t="s">
        <v>321</v>
      </c>
      <c r="FG31" s="9" t="s">
        <v>624</v>
      </c>
      <c r="FH31" s="9" t="s">
        <v>306</v>
      </c>
      <c r="FI31" s="9" t="s">
        <v>306</v>
      </c>
      <c r="FJ31" s="9"/>
      <c r="FK31" s="9"/>
      <c r="FL31" s="9"/>
      <c r="FM31" s="9"/>
      <c r="FN31" s="9" t="s">
        <v>306</v>
      </c>
      <c r="FO31" s="9"/>
      <c r="FP31" s="9"/>
      <c r="FQ31" s="9" t="s">
        <v>172</v>
      </c>
      <c r="FR31" s="9"/>
      <c r="FS31" s="9"/>
      <c r="FT31" s="9"/>
      <c r="FU31" s="9"/>
      <c r="FV31" s="9"/>
      <c r="FW31" s="9"/>
      <c r="FX31" s="9" t="s">
        <v>306</v>
      </c>
      <c r="FY31" s="9"/>
      <c r="FZ31" s="9" t="s">
        <v>378</v>
      </c>
      <c r="GA31" s="9" t="s">
        <v>324</v>
      </c>
      <c r="GB31" s="9" t="s">
        <v>306</v>
      </c>
      <c r="GC31" s="9" t="s">
        <v>306</v>
      </c>
      <c r="GD31" s="9"/>
      <c r="GE31" s="9"/>
      <c r="GF31" s="9"/>
      <c r="GG31" s="9"/>
      <c r="GH31" s="9"/>
      <c r="GI31" s="9" t="s">
        <v>440</v>
      </c>
      <c r="GJ31" s="9" t="s">
        <v>306</v>
      </c>
      <c r="GK31" s="9">
        <v>2.75</v>
      </c>
      <c r="GL31" s="9" t="s">
        <v>187</v>
      </c>
      <c r="GM31" s="9" t="s">
        <v>306</v>
      </c>
      <c r="GN31" s="9"/>
      <c r="GO31" s="9"/>
      <c r="GP31" s="9"/>
      <c r="GQ31" s="9"/>
      <c r="GR31" s="9"/>
      <c r="GS31" s="9">
        <v>36</v>
      </c>
      <c r="GT31" s="9" t="s">
        <v>542</v>
      </c>
      <c r="GU31" s="9"/>
      <c r="GV31" s="9"/>
      <c r="GW31" s="9"/>
      <c r="GX31" s="9" t="s">
        <v>306</v>
      </c>
      <c r="GY31" s="9" t="s">
        <v>306</v>
      </c>
      <c r="GZ31" s="9"/>
      <c r="HA31" s="9" t="s">
        <v>306</v>
      </c>
      <c r="HB31" s="9"/>
      <c r="HC31" s="9"/>
      <c r="HD31" s="9"/>
      <c r="HE31" s="9"/>
      <c r="HF31" s="9" t="s">
        <v>196</v>
      </c>
      <c r="HG31" s="9"/>
      <c r="HH31" s="9" t="s">
        <v>306</v>
      </c>
      <c r="HI31" s="9"/>
      <c r="HJ31" s="9"/>
      <c r="HK31" s="9"/>
      <c r="HL31" s="9"/>
      <c r="HM31" s="9"/>
      <c r="HN31" s="9"/>
      <c r="HO31" s="9"/>
      <c r="HP31" s="9"/>
      <c r="HQ31" s="9"/>
      <c r="HR31" s="9">
        <v>0</v>
      </c>
      <c r="HS31" s="9">
        <v>100</v>
      </c>
      <c r="HT31" s="9">
        <v>0</v>
      </c>
      <c r="HU31" s="9">
        <v>0</v>
      </c>
      <c r="HV31" s="9">
        <v>0</v>
      </c>
      <c r="HW31" s="9" t="s">
        <v>625</v>
      </c>
      <c r="HX31" s="9" t="s">
        <v>306</v>
      </c>
      <c r="HY31" s="9"/>
      <c r="HZ31" s="9"/>
      <c r="IA31" s="9"/>
      <c r="IB31" s="9" t="s">
        <v>306</v>
      </c>
      <c r="IC31" s="9"/>
      <c r="ID31" s="9"/>
      <c r="IE31" s="9" t="s">
        <v>306</v>
      </c>
      <c r="IF31" s="9"/>
      <c r="IG31" s="9"/>
      <c r="IH31" s="9" t="s">
        <v>330</v>
      </c>
      <c r="II31" s="9" t="s">
        <v>331</v>
      </c>
      <c r="IJ31" s="9" t="s">
        <v>564</v>
      </c>
      <c r="IK31" s="9"/>
      <c r="IL31" s="9" t="s">
        <v>306</v>
      </c>
      <c r="IM31" s="9" t="s">
        <v>306</v>
      </c>
      <c r="IN31" s="9" t="s">
        <v>306</v>
      </c>
      <c r="IO31" s="9" t="s">
        <v>306</v>
      </c>
      <c r="IP31" s="9" t="s">
        <v>306</v>
      </c>
      <c r="IQ31" s="9" t="s">
        <v>306</v>
      </c>
      <c r="IR31" s="9" t="s">
        <v>306</v>
      </c>
      <c r="IS31" s="9" t="s">
        <v>306</v>
      </c>
      <c r="IT31" s="9" t="s">
        <v>306</v>
      </c>
      <c r="IU31" s="9" t="s">
        <v>498</v>
      </c>
      <c r="IV31" s="9" t="s">
        <v>444</v>
      </c>
      <c r="IW31" s="9"/>
      <c r="IX31" s="9" t="s">
        <v>306</v>
      </c>
      <c r="IY31" s="9" t="s">
        <v>306</v>
      </c>
      <c r="IZ31" s="9"/>
      <c r="JA31" s="9"/>
      <c r="JB31" s="9">
        <v>2</v>
      </c>
      <c r="JC31" s="9">
        <v>3</v>
      </c>
      <c r="JD31" s="9">
        <v>120</v>
      </c>
      <c r="JE31" s="9">
        <v>20</v>
      </c>
      <c r="JF31" s="9">
        <v>12</v>
      </c>
      <c r="JG31" s="9">
        <v>8.1999999999999993</v>
      </c>
      <c r="JH31" s="9">
        <v>9.4</v>
      </c>
      <c r="JI31" s="9" t="s">
        <v>556</v>
      </c>
      <c r="JJ31" s="9" t="s">
        <v>306</v>
      </c>
      <c r="JK31" s="9" t="s">
        <v>306</v>
      </c>
      <c r="JL31" s="9"/>
      <c r="JM31" s="9" t="s">
        <v>306</v>
      </c>
      <c r="JN31" s="9"/>
      <c r="JO31" s="9" t="s">
        <v>306</v>
      </c>
      <c r="JP31" s="9" t="s">
        <v>306</v>
      </c>
      <c r="JQ31" s="9" t="s">
        <v>306</v>
      </c>
      <c r="JR31" s="9" t="s">
        <v>306</v>
      </c>
      <c r="JS31" s="9" t="s">
        <v>306</v>
      </c>
      <c r="JT31" s="9" t="s">
        <v>336</v>
      </c>
      <c r="JU31" s="9" t="s">
        <v>306</v>
      </c>
      <c r="JV31" s="9" t="s">
        <v>306</v>
      </c>
      <c r="JW31" s="9" t="s">
        <v>306</v>
      </c>
      <c r="JX31" s="9" t="s">
        <v>306</v>
      </c>
      <c r="JY31" s="9"/>
      <c r="JZ31" s="9" t="s">
        <v>306</v>
      </c>
      <c r="KA31" s="9" t="s">
        <v>306</v>
      </c>
      <c r="KB31" s="9" t="s">
        <v>475</v>
      </c>
      <c r="KC31" s="9"/>
      <c r="KD31" s="9" t="s">
        <v>306</v>
      </c>
      <c r="KE31" s="9" t="s">
        <v>306</v>
      </c>
      <c r="KF31" s="9"/>
      <c r="KG31" s="9" t="s">
        <v>337</v>
      </c>
      <c r="KH31" s="9" t="s">
        <v>338</v>
      </c>
      <c r="KI31" s="9" t="s">
        <v>339</v>
      </c>
      <c r="KJ31" s="9" t="s">
        <v>306</v>
      </c>
      <c r="KK31" s="9" t="s">
        <v>278</v>
      </c>
      <c r="KL31" s="9"/>
      <c r="KM31" s="9"/>
      <c r="KN31" s="9"/>
      <c r="KO31" s="9" t="s">
        <v>306</v>
      </c>
      <c r="KP31" s="9"/>
      <c r="KQ31" s="9"/>
      <c r="KR31" s="9"/>
      <c r="KS31" s="9"/>
      <c r="KT31" s="9"/>
      <c r="KU31" s="9">
        <v>15</v>
      </c>
      <c r="KV31" s="9">
        <v>2.62</v>
      </c>
      <c r="KW31" s="9">
        <v>2.62</v>
      </c>
      <c r="KX31" s="9">
        <v>2.62</v>
      </c>
      <c r="KY31" s="9" t="s">
        <v>365</v>
      </c>
      <c r="KZ31" s="9" t="s">
        <v>306</v>
      </c>
      <c r="LA31" s="9" t="s">
        <v>306</v>
      </c>
      <c r="LB31" s="9" t="s">
        <v>306</v>
      </c>
      <c r="LC31" s="9" t="s">
        <v>306</v>
      </c>
      <c r="LD31" s="9" t="s">
        <v>306</v>
      </c>
      <c r="LE31" s="9"/>
      <c r="LF31" s="9"/>
      <c r="LG31" s="9" t="s">
        <v>341</v>
      </c>
      <c r="LH31" s="9" t="s">
        <v>341</v>
      </c>
      <c r="LI31" s="9" t="s">
        <v>341</v>
      </c>
      <c r="LJ31" s="9" t="s">
        <v>307</v>
      </c>
      <c r="LK31" s="9" t="s">
        <v>423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8780-11D5-4D0E-8A8F-AA88A027619E}">
  <sheetPr codeName="Planilha2"/>
  <dimension ref="A7:D1058"/>
  <sheetViews>
    <sheetView workbookViewId="0">
      <selection activeCell="A16" sqref="A16"/>
    </sheetView>
  </sheetViews>
  <sheetFormatPr defaultRowHeight="14.4" x14ac:dyDescent="0.3"/>
  <cols>
    <col min="1" max="1" width="37.77734375" customWidth="1"/>
    <col min="2" max="14" width="15.77734375" customWidth="1"/>
  </cols>
  <sheetData>
    <row r="7" spans="1:3" x14ac:dyDescent="0.3">
      <c r="A7" s="14" t="s">
        <v>626</v>
      </c>
      <c r="B7" t="s">
        <v>718</v>
      </c>
      <c r="C7" t="s">
        <v>636</v>
      </c>
    </row>
    <row r="8" spans="1:3" x14ac:dyDescent="0.3">
      <c r="A8" s="15" t="s">
        <v>367</v>
      </c>
      <c r="B8" s="18">
        <v>11</v>
      </c>
      <c r="C8" s="16">
        <v>0.36666666666666664</v>
      </c>
    </row>
    <row r="9" spans="1:3" x14ac:dyDescent="0.3">
      <c r="A9" s="15" t="s">
        <v>302</v>
      </c>
      <c r="B9" s="18">
        <v>19</v>
      </c>
      <c r="C9" s="16">
        <v>0.6333333333333333</v>
      </c>
    </row>
    <row r="11" spans="1:3" x14ac:dyDescent="0.3">
      <c r="A11" s="7" t="s">
        <v>1031</v>
      </c>
      <c r="B11" s="22">
        <f>SUM(B8:B9)</f>
        <v>30</v>
      </c>
      <c r="C11" s="23">
        <f>SUM(C8:C9)</f>
        <v>1</v>
      </c>
    </row>
    <row r="15" spans="1:3" x14ac:dyDescent="0.3">
      <c r="A15" s="14" t="s">
        <v>626</v>
      </c>
      <c r="B15" t="s">
        <v>1029</v>
      </c>
    </row>
    <row r="16" spans="1:3" x14ac:dyDescent="0.3">
      <c r="A16" s="15" t="s">
        <v>398</v>
      </c>
      <c r="B16" s="16">
        <v>6.6666666666666666E-2</v>
      </c>
    </row>
    <row r="17" spans="1:2" x14ac:dyDescent="0.3">
      <c r="A17" s="15" t="s">
        <v>519</v>
      </c>
      <c r="B17" s="16">
        <v>6.6666666666666666E-2</v>
      </c>
    </row>
    <row r="18" spans="1:2" x14ac:dyDescent="0.3">
      <c r="A18" s="15" t="s">
        <v>300</v>
      </c>
      <c r="B18" s="16">
        <v>0.16666666666666666</v>
      </c>
    </row>
    <row r="19" spans="1:2" x14ac:dyDescent="0.3">
      <c r="A19" s="15" t="s">
        <v>614</v>
      </c>
      <c r="B19" s="16">
        <v>3.3333333333333333E-2</v>
      </c>
    </row>
    <row r="20" spans="1:2" x14ac:dyDescent="0.3">
      <c r="A20" s="15" t="s">
        <v>573</v>
      </c>
      <c r="B20" s="16">
        <v>3.3333333333333333E-2</v>
      </c>
    </row>
    <row r="21" spans="1:2" x14ac:dyDescent="0.3">
      <c r="A21" s="15" t="s">
        <v>366</v>
      </c>
      <c r="B21" s="16">
        <v>0.1</v>
      </c>
    </row>
    <row r="22" spans="1:2" x14ac:dyDescent="0.3">
      <c r="A22" s="15" t="s">
        <v>557</v>
      </c>
      <c r="B22" s="16">
        <v>6.6666666666666666E-2</v>
      </c>
    </row>
    <row r="23" spans="1:2" x14ac:dyDescent="0.3">
      <c r="A23" s="15" t="s">
        <v>501</v>
      </c>
      <c r="B23" s="16">
        <v>6.6666666666666666E-2</v>
      </c>
    </row>
    <row r="24" spans="1:2" x14ac:dyDescent="0.3">
      <c r="A24" s="15" t="s">
        <v>424</v>
      </c>
      <c r="B24" s="16">
        <v>0.1</v>
      </c>
    </row>
    <row r="25" spans="1:2" x14ac:dyDescent="0.3">
      <c r="A25" s="15" t="s">
        <v>488</v>
      </c>
      <c r="B25" s="16">
        <v>0.1</v>
      </c>
    </row>
    <row r="26" spans="1:2" x14ac:dyDescent="0.3">
      <c r="A26" s="15" t="s">
        <v>620</v>
      </c>
      <c r="B26" s="16">
        <v>3.3333333333333333E-2</v>
      </c>
    </row>
    <row r="27" spans="1:2" x14ac:dyDescent="0.3">
      <c r="A27" s="15" t="s">
        <v>525</v>
      </c>
      <c r="B27" s="16">
        <v>3.3333333333333333E-2</v>
      </c>
    </row>
    <row r="28" spans="1:2" x14ac:dyDescent="0.3">
      <c r="A28" s="15" t="s">
        <v>548</v>
      </c>
      <c r="B28" s="16">
        <v>0.13333333333333333</v>
      </c>
    </row>
    <row r="35" spans="1:2" x14ac:dyDescent="0.3">
      <c r="A35" s="14" t="s">
        <v>626</v>
      </c>
      <c r="B35" t="s">
        <v>637</v>
      </c>
    </row>
    <row r="36" spans="1:2" x14ac:dyDescent="0.3">
      <c r="A36" s="15" t="s">
        <v>633</v>
      </c>
      <c r="B36" s="16">
        <v>6.6666666666666666E-2</v>
      </c>
    </row>
    <row r="37" spans="1:2" x14ac:dyDescent="0.3">
      <c r="A37" s="15" t="s">
        <v>632</v>
      </c>
      <c r="B37" s="16">
        <v>0.2</v>
      </c>
    </row>
    <row r="38" spans="1:2" x14ac:dyDescent="0.3">
      <c r="A38" s="15" t="s">
        <v>635</v>
      </c>
      <c r="B38" s="16">
        <v>0.3</v>
      </c>
    </row>
    <row r="39" spans="1:2" x14ac:dyDescent="0.3">
      <c r="A39" s="15" t="s">
        <v>631</v>
      </c>
      <c r="B39" s="16">
        <v>0.3</v>
      </c>
    </row>
    <row r="40" spans="1:2" x14ac:dyDescent="0.3">
      <c r="A40" s="15" t="s">
        <v>634</v>
      </c>
      <c r="B40" s="16">
        <v>0.13333333333333333</v>
      </c>
    </row>
    <row r="47" spans="1:2" x14ac:dyDescent="0.3">
      <c r="A47" s="14" t="s">
        <v>626</v>
      </c>
      <c r="B47" t="s">
        <v>638</v>
      </c>
    </row>
    <row r="48" spans="1:2" x14ac:dyDescent="0.3">
      <c r="A48" s="15" t="s">
        <v>301</v>
      </c>
      <c r="B48" s="16">
        <v>0.66666666666666663</v>
      </c>
    </row>
    <row r="49" spans="1:2" x14ac:dyDescent="0.3">
      <c r="A49" s="15" t="s">
        <v>343</v>
      </c>
      <c r="B49" s="16">
        <v>0.3</v>
      </c>
    </row>
    <row r="50" spans="1:2" x14ac:dyDescent="0.3">
      <c r="A50" s="15" t="s">
        <v>409</v>
      </c>
      <c r="B50" s="16">
        <v>3.3333333333333333E-2</v>
      </c>
    </row>
    <row r="57" spans="1:2" x14ac:dyDescent="0.3">
      <c r="A57" s="14" t="s">
        <v>626</v>
      </c>
      <c r="B57" t="s">
        <v>628</v>
      </c>
    </row>
    <row r="58" spans="1:2" x14ac:dyDescent="0.3">
      <c r="A58" s="15" t="s">
        <v>368</v>
      </c>
      <c r="B58" s="16">
        <v>0.36666666666666664</v>
      </c>
    </row>
    <row r="59" spans="1:2" x14ac:dyDescent="0.3">
      <c r="A59" s="15" t="s">
        <v>303</v>
      </c>
      <c r="B59" s="16">
        <v>0.6333333333333333</v>
      </c>
    </row>
    <row r="66" spans="1:2" x14ac:dyDescent="0.3">
      <c r="A66" s="14" t="s">
        <v>641</v>
      </c>
    </row>
    <row r="67" spans="1:2" x14ac:dyDescent="0.3">
      <c r="A67" s="15" t="s">
        <v>639</v>
      </c>
      <c r="B67" s="13">
        <v>50.166666666666664</v>
      </c>
    </row>
    <row r="68" spans="1:2" x14ac:dyDescent="0.3">
      <c r="A68" s="15" t="s">
        <v>640</v>
      </c>
      <c r="B68" s="13">
        <v>20.306666666666668</v>
      </c>
    </row>
    <row r="74" spans="1:2" x14ac:dyDescent="0.3">
      <c r="A74" s="14" t="s">
        <v>626</v>
      </c>
      <c r="B74" t="s">
        <v>642</v>
      </c>
    </row>
    <row r="75" spans="1:2" x14ac:dyDescent="0.3">
      <c r="A75" s="15" t="s">
        <v>537</v>
      </c>
      <c r="B75" s="16">
        <v>0.1</v>
      </c>
    </row>
    <row r="76" spans="1:2" x14ac:dyDescent="0.3">
      <c r="A76" s="15" t="s">
        <v>308</v>
      </c>
      <c r="B76" s="16">
        <v>0.9</v>
      </c>
    </row>
    <row r="83" spans="1:2" x14ac:dyDescent="0.3">
      <c r="A83" s="14" t="s">
        <v>626</v>
      </c>
      <c r="B83" t="s">
        <v>643</v>
      </c>
    </row>
    <row r="84" spans="1:2" x14ac:dyDescent="0.3">
      <c r="A84" s="15" t="s">
        <v>411</v>
      </c>
      <c r="B84" s="16">
        <v>0.1</v>
      </c>
    </row>
    <row r="85" spans="1:2" x14ac:dyDescent="0.3">
      <c r="A85" s="15" t="s">
        <v>467</v>
      </c>
      <c r="B85" s="16">
        <v>0.1</v>
      </c>
    </row>
    <row r="86" spans="1:2" x14ac:dyDescent="0.3">
      <c r="A86" s="15" t="s">
        <v>345</v>
      </c>
      <c r="B86" s="16">
        <v>6.6666666666666666E-2</v>
      </c>
    </row>
    <row r="87" spans="1:2" x14ac:dyDescent="0.3">
      <c r="A87" s="15" t="s">
        <v>372</v>
      </c>
      <c r="B87" s="16">
        <v>0.46666666666666667</v>
      </c>
    </row>
    <row r="88" spans="1:2" x14ac:dyDescent="0.3">
      <c r="A88" s="15" t="s">
        <v>527</v>
      </c>
      <c r="B88" s="16">
        <v>3.3333333333333333E-2</v>
      </c>
    </row>
    <row r="89" spans="1:2" x14ac:dyDescent="0.3">
      <c r="A89" s="15" t="s">
        <v>455</v>
      </c>
      <c r="B89" s="16">
        <v>0.16666666666666666</v>
      </c>
    </row>
    <row r="90" spans="1:2" x14ac:dyDescent="0.3">
      <c r="A90" s="15" t="s">
        <v>309</v>
      </c>
      <c r="B90" s="16">
        <v>6.6666666666666666E-2</v>
      </c>
    </row>
    <row r="97" spans="1:2" x14ac:dyDescent="0.3">
      <c r="A97" s="14" t="s">
        <v>626</v>
      </c>
      <c r="B97" t="s">
        <v>644</v>
      </c>
    </row>
    <row r="98" spans="1:2" x14ac:dyDescent="0.3">
      <c r="A98" s="15" t="s">
        <v>310</v>
      </c>
      <c r="B98" s="16">
        <v>0.43333333333333335</v>
      </c>
    </row>
    <row r="99" spans="1:2" x14ac:dyDescent="0.3">
      <c r="A99" s="15" t="s">
        <v>346</v>
      </c>
      <c r="B99" s="16">
        <v>0.56666666666666665</v>
      </c>
    </row>
    <row r="106" spans="1:2" x14ac:dyDescent="0.3">
      <c r="A106" s="14" t="s">
        <v>641</v>
      </c>
    </row>
    <row r="107" spans="1:2" x14ac:dyDescent="0.3">
      <c r="A107" s="15" t="s">
        <v>645</v>
      </c>
      <c r="B107" s="13">
        <v>67.36666666666666</v>
      </c>
    </row>
    <row r="108" spans="1:2" x14ac:dyDescent="0.3">
      <c r="A108" s="15" t="s">
        <v>646</v>
      </c>
      <c r="B108" s="13">
        <v>25.966666666666665</v>
      </c>
    </row>
    <row r="109" spans="1:2" x14ac:dyDescent="0.3">
      <c r="A109" s="15" t="s">
        <v>647</v>
      </c>
      <c r="B109" s="13">
        <v>0</v>
      </c>
    </row>
    <row r="110" spans="1:2" x14ac:dyDescent="0.3">
      <c r="A110" s="15" t="s">
        <v>648</v>
      </c>
      <c r="B110" s="13">
        <v>6.666666666666667</v>
      </c>
    </row>
    <row r="111" spans="1:2" x14ac:dyDescent="0.3">
      <c r="A111" s="15" t="s">
        <v>649</v>
      </c>
      <c r="B111" s="13">
        <v>0</v>
      </c>
    </row>
    <row r="112" spans="1:2" x14ac:dyDescent="0.3">
      <c r="A112" s="15" t="s">
        <v>650</v>
      </c>
      <c r="B112" s="13">
        <v>0</v>
      </c>
    </row>
    <row r="114" spans="1:4" x14ac:dyDescent="0.3">
      <c r="B114" s="13"/>
      <c r="C114" s="13"/>
      <c r="D114" s="13"/>
    </row>
    <row r="118" spans="1:4" x14ac:dyDescent="0.3">
      <c r="A118" s="14" t="s">
        <v>641</v>
      </c>
    </row>
    <row r="119" spans="1:4" x14ac:dyDescent="0.3">
      <c r="A119" s="15" t="s">
        <v>651</v>
      </c>
      <c r="B119" s="13">
        <v>42.678571428571431</v>
      </c>
    </row>
    <row r="120" spans="1:4" x14ac:dyDescent="0.3">
      <c r="A120" s="15" t="s">
        <v>652</v>
      </c>
      <c r="B120" s="13">
        <v>46.607142857142854</v>
      </c>
    </row>
    <row r="121" spans="1:4" x14ac:dyDescent="0.3">
      <c r="A121" s="15" t="s">
        <v>653</v>
      </c>
      <c r="B121" s="13">
        <v>0</v>
      </c>
    </row>
    <row r="122" spans="1:4" x14ac:dyDescent="0.3">
      <c r="A122" s="15" t="s">
        <v>654</v>
      </c>
      <c r="B122" s="13">
        <v>3.5714285714285716</v>
      </c>
    </row>
    <row r="123" spans="1:4" x14ac:dyDescent="0.3">
      <c r="A123" s="15" t="s">
        <v>655</v>
      </c>
      <c r="B123" s="13">
        <v>7.1428571428571432</v>
      </c>
    </row>
    <row r="125" spans="1:4" x14ac:dyDescent="0.3">
      <c r="B125" s="13"/>
      <c r="C125" s="13"/>
      <c r="D125" s="13"/>
    </row>
    <row r="129" spans="1:2" x14ac:dyDescent="0.3">
      <c r="A129" s="14" t="s">
        <v>626</v>
      </c>
      <c r="B129" t="s">
        <v>656</v>
      </c>
    </row>
    <row r="130" spans="1:2" x14ac:dyDescent="0.3">
      <c r="A130" s="15" t="s">
        <v>306</v>
      </c>
      <c r="B130" s="16">
        <v>0.16666666666666666</v>
      </c>
    </row>
    <row r="131" spans="1:2" x14ac:dyDescent="0.3">
      <c r="A131" s="15" t="s">
        <v>307</v>
      </c>
      <c r="B131" s="16">
        <v>0.83333333333333337</v>
      </c>
    </row>
    <row r="138" spans="1:2" x14ac:dyDescent="0.3">
      <c r="A138" s="14" t="s">
        <v>641</v>
      </c>
    </row>
    <row r="139" spans="1:2" x14ac:dyDescent="0.3">
      <c r="A139" s="15" t="s">
        <v>657</v>
      </c>
      <c r="B139" s="13">
        <v>71.7</v>
      </c>
    </row>
    <row r="140" spans="1:2" x14ac:dyDescent="0.3">
      <c r="A140" s="15" t="s">
        <v>658</v>
      </c>
      <c r="B140" s="13">
        <v>4.9000000000000004</v>
      </c>
    </row>
    <row r="141" spans="1:2" x14ac:dyDescent="0.3">
      <c r="A141" s="15" t="s">
        <v>659</v>
      </c>
      <c r="B141" s="13">
        <v>2.6</v>
      </c>
    </row>
    <row r="142" spans="1:2" x14ac:dyDescent="0.3">
      <c r="A142" s="15" t="s">
        <v>660</v>
      </c>
      <c r="B142" s="13">
        <v>5.1333333333333337</v>
      </c>
    </row>
    <row r="143" spans="1:2" x14ac:dyDescent="0.3">
      <c r="A143" s="15" t="s">
        <v>661</v>
      </c>
      <c r="B143" s="13">
        <v>15.666666666666666</v>
      </c>
    </row>
    <row r="145" spans="1:4" x14ac:dyDescent="0.3">
      <c r="B145" s="13"/>
      <c r="C145" s="13"/>
      <c r="D145" s="13"/>
    </row>
    <row r="149" spans="1:4" x14ac:dyDescent="0.3">
      <c r="A149" s="14" t="s">
        <v>641</v>
      </c>
    </row>
    <row r="150" spans="1:4" x14ac:dyDescent="0.3">
      <c r="A150" s="15" t="s">
        <v>662</v>
      </c>
      <c r="B150" s="13">
        <v>86.893181818181816</v>
      </c>
    </row>
    <row r="151" spans="1:4" x14ac:dyDescent="0.3">
      <c r="A151" s="15" t="s">
        <v>663</v>
      </c>
      <c r="B151" s="13">
        <v>12.197727272727274</v>
      </c>
    </row>
    <row r="152" spans="1:4" x14ac:dyDescent="0.3">
      <c r="A152" s="15" t="s">
        <v>664</v>
      </c>
      <c r="B152" s="13">
        <v>0.90909090909090906</v>
      </c>
    </row>
    <row r="154" spans="1:4" x14ac:dyDescent="0.3">
      <c r="B154" s="13"/>
      <c r="C154" s="13"/>
      <c r="D154" s="13"/>
    </row>
    <row r="158" spans="1:4" x14ac:dyDescent="0.3">
      <c r="A158" s="14" t="s">
        <v>626</v>
      </c>
      <c r="B158" t="s">
        <v>665</v>
      </c>
    </row>
    <row r="159" spans="1:4" x14ac:dyDescent="0.3">
      <c r="A159" s="15" t="s">
        <v>412</v>
      </c>
      <c r="B159" s="16">
        <v>0.13333333333333333</v>
      </c>
    </row>
    <row r="160" spans="1:4" x14ac:dyDescent="0.3">
      <c r="A160" s="15" t="s">
        <v>400</v>
      </c>
      <c r="B160" s="16">
        <v>0.33333333333333331</v>
      </c>
    </row>
    <row r="161" spans="1:2" x14ac:dyDescent="0.3">
      <c r="A161" s="15" t="s">
        <v>311</v>
      </c>
      <c r="B161" s="16">
        <v>0.46666666666666667</v>
      </c>
    </row>
    <row r="162" spans="1:2" x14ac:dyDescent="0.3">
      <c r="A162" s="15" t="s">
        <v>574</v>
      </c>
      <c r="B162" s="16">
        <v>6.6666666666666666E-2</v>
      </c>
    </row>
    <row r="169" spans="1:2" x14ac:dyDescent="0.3">
      <c r="A169" s="14" t="s">
        <v>626</v>
      </c>
      <c r="B169" t="s">
        <v>666</v>
      </c>
    </row>
    <row r="170" spans="1:2" x14ac:dyDescent="0.3">
      <c r="A170" s="15" t="s">
        <v>306</v>
      </c>
      <c r="B170" s="16">
        <v>0.66666666666666663</v>
      </c>
    </row>
    <row r="171" spans="1:2" x14ac:dyDescent="0.3">
      <c r="A171" s="15" t="s">
        <v>307</v>
      </c>
      <c r="B171" s="16">
        <v>0.33333333333333331</v>
      </c>
    </row>
    <row r="178" spans="1:2" x14ac:dyDescent="0.3">
      <c r="A178" s="14" t="s">
        <v>626</v>
      </c>
      <c r="B178" t="s">
        <v>667</v>
      </c>
    </row>
    <row r="179" spans="1:2" x14ac:dyDescent="0.3">
      <c r="A179" s="15" t="s">
        <v>314</v>
      </c>
      <c r="B179" s="16">
        <v>0.76666666666666672</v>
      </c>
    </row>
    <row r="180" spans="1:2" x14ac:dyDescent="0.3">
      <c r="A180" s="15" t="s">
        <v>376</v>
      </c>
      <c r="B180" s="16">
        <v>0.16666666666666666</v>
      </c>
    </row>
    <row r="181" spans="1:2" x14ac:dyDescent="0.3">
      <c r="A181" s="15" t="s">
        <v>62</v>
      </c>
      <c r="B181" s="16">
        <v>6.6666666666666666E-2</v>
      </c>
    </row>
    <row r="188" spans="1:2" x14ac:dyDescent="0.3">
      <c r="A188" s="14" t="s">
        <v>626</v>
      </c>
      <c r="B188" t="s">
        <v>668</v>
      </c>
    </row>
    <row r="189" spans="1:2" x14ac:dyDescent="0.3">
      <c r="A189" s="15" t="s">
        <v>315</v>
      </c>
      <c r="B189" s="16">
        <v>0.46666666666666667</v>
      </c>
    </row>
    <row r="190" spans="1:2" x14ac:dyDescent="0.3">
      <c r="A190" s="15" t="s">
        <v>491</v>
      </c>
      <c r="B190" s="16">
        <v>3.3333333333333333E-2</v>
      </c>
    </row>
    <row r="191" spans="1:2" x14ac:dyDescent="0.3">
      <c r="A191" s="15" t="s">
        <v>351</v>
      </c>
      <c r="B191" s="16">
        <v>0.13333333333333333</v>
      </c>
    </row>
    <row r="192" spans="1:2" x14ac:dyDescent="0.3">
      <c r="A192" s="15" t="s">
        <v>470</v>
      </c>
      <c r="B192" s="16">
        <v>3.3333333333333333E-2</v>
      </c>
    </row>
    <row r="193" spans="1:2" x14ac:dyDescent="0.3">
      <c r="A193" s="15" t="s">
        <v>62</v>
      </c>
      <c r="B193" s="16">
        <v>0.33333333333333331</v>
      </c>
    </row>
    <row r="200" spans="1:2" x14ac:dyDescent="0.3">
      <c r="A200" s="14" t="s">
        <v>626</v>
      </c>
      <c r="B200" t="s">
        <v>855</v>
      </c>
    </row>
    <row r="201" spans="1:2" x14ac:dyDescent="0.3">
      <c r="A201" s="15" t="s">
        <v>306</v>
      </c>
      <c r="B201" s="16">
        <v>0.56666666666666665</v>
      </c>
    </row>
    <row r="202" spans="1:2" x14ac:dyDescent="0.3">
      <c r="A202" s="15" t="s">
        <v>307</v>
      </c>
      <c r="B202" s="16">
        <v>0.43333333333333335</v>
      </c>
    </row>
    <row r="209" spans="1:2" x14ac:dyDescent="0.3">
      <c r="A209" s="14" t="s">
        <v>641</v>
      </c>
    </row>
    <row r="210" spans="1:2" x14ac:dyDescent="0.3">
      <c r="A210" s="15" t="s">
        <v>669</v>
      </c>
      <c r="B210" s="13">
        <v>1597.3611111111109</v>
      </c>
    </row>
    <row r="211" spans="1:2" x14ac:dyDescent="0.3">
      <c r="A211" s="15" t="s">
        <v>670</v>
      </c>
      <c r="B211" s="13">
        <v>1526.6666666666667</v>
      </c>
    </row>
    <row r="212" spans="1:2" x14ac:dyDescent="0.3">
      <c r="A212" s="15" t="s">
        <v>671</v>
      </c>
      <c r="B212" s="13">
        <v>1660.3333333333333</v>
      </c>
    </row>
    <row r="218" spans="1:2" x14ac:dyDescent="0.3">
      <c r="A218" s="14" t="s">
        <v>641</v>
      </c>
    </row>
    <row r="219" spans="1:2" x14ac:dyDescent="0.3">
      <c r="A219" s="15" t="s">
        <v>672</v>
      </c>
      <c r="B219" s="13">
        <v>24.109166666666667</v>
      </c>
    </row>
    <row r="220" spans="1:2" x14ac:dyDescent="0.3">
      <c r="A220" s="15" t="s">
        <v>673</v>
      </c>
      <c r="B220" s="13">
        <v>23.23</v>
      </c>
    </row>
    <row r="221" spans="1:2" x14ac:dyDescent="0.3">
      <c r="A221" s="15" t="s">
        <v>674</v>
      </c>
      <c r="B221" s="13">
        <v>24.779999999999998</v>
      </c>
    </row>
    <row r="227" spans="1:4" x14ac:dyDescent="0.3">
      <c r="A227" s="14" t="s">
        <v>641</v>
      </c>
    </row>
    <row r="228" spans="1:4" x14ac:dyDescent="0.3">
      <c r="A228" s="15" t="s">
        <v>675</v>
      </c>
      <c r="B228" s="13">
        <v>94.295000000000002</v>
      </c>
    </row>
    <row r="229" spans="1:4" x14ac:dyDescent="0.3">
      <c r="A229" s="15" t="s">
        <v>676</v>
      </c>
      <c r="B229" s="13">
        <v>0.23333333333333334</v>
      </c>
    </row>
    <row r="230" spans="1:4" x14ac:dyDescent="0.3">
      <c r="A230" s="15" t="s">
        <v>677</v>
      </c>
      <c r="B230" s="13">
        <v>3.3333333333333333E-2</v>
      </c>
    </row>
    <row r="231" spans="1:4" x14ac:dyDescent="0.3">
      <c r="A231" s="15" t="s">
        <v>678</v>
      </c>
      <c r="B231" s="13">
        <v>0.6216666666666667</v>
      </c>
    </row>
    <row r="232" spans="1:4" x14ac:dyDescent="0.3">
      <c r="A232" s="15" t="s">
        <v>679</v>
      </c>
      <c r="B232" s="13">
        <v>4.8166666666666664</v>
      </c>
    </row>
    <row r="234" spans="1:4" x14ac:dyDescent="0.3">
      <c r="B234" s="13"/>
      <c r="C234" s="13"/>
      <c r="D234" s="13"/>
    </row>
    <row r="238" spans="1:4" x14ac:dyDescent="0.3">
      <c r="A238" s="14" t="s">
        <v>641</v>
      </c>
    </row>
    <row r="239" spans="1:4" x14ac:dyDescent="0.3">
      <c r="A239" s="15" t="s">
        <v>680</v>
      </c>
      <c r="B239" s="13">
        <v>81.814285714285717</v>
      </c>
    </row>
    <row r="240" spans="1:4" x14ac:dyDescent="0.3">
      <c r="A240" s="15" t="s">
        <v>681</v>
      </c>
      <c r="B240" s="13">
        <v>44.419000000000004</v>
      </c>
    </row>
    <row r="246" spans="1:2" x14ac:dyDescent="0.3">
      <c r="A246" s="14" t="s">
        <v>626</v>
      </c>
      <c r="B246" t="s">
        <v>682</v>
      </c>
    </row>
    <row r="247" spans="1:2" x14ac:dyDescent="0.3">
      <c r="A247" s="15" t="s">
        <v>306</v>
      </c>
      <c r="B247" s="16">
        <v>0.93333333333333335</v>
      </c>
    </row>
    <row r="248" spans="1:2" x14ac:dyDescent="0.3">
      <c r="A248" s="15" t="s">
        <v>307</v>
      </c>
      <c r="B248" s="16">
        <v>6.6666666666666666E-2</v>
      </c>
    </row>
    <row r="255" spans="1:2" x14ac:dyDescent="0.3">
      <c r="A255" s="14" t="s">
        <v>626</v>
      </c>
      <c r="B255" t="s">
        <v>683</v>
      </c>
    </row>
    <row r="256" spans="1:2" x14ac:dyDescent="0.3">
      <c r="A256" s="15" t="s">
        <v>306</v>
      </c>
      <c r="B256" s="16">
        <v>0.8666666666666667</v>
      </c>
    </row>
    <row r="257" spans="1:2" x14ac:dyDescent="0.3">
      <c r="A257" s="15" t="s">
        <v>307</v>
      </c>
      <c r="B257" s="16">
        <v>0.13333333333333333</v>
      </c>
    </row>
    <row r="264" spans="1:2" x14ac:dyDescent="0.3">
      <c r="A264" s="14" t="s">
        <v>626</v>
      </c>
      <c r="B264" t="s">
        <v>684</v>
      </c>
    </row>
    <row r="265" spans="1:2" x14ac:dyDescent="0.3">
      <c r="A265" s="15" t="s">
        <v>306</v>
      </c>
      <c r="B265" s="16">
        <v>0.33333333333333331</v>
      </c>
    </row>
    <row r="266" spans="1:2" x14ac:dyDescent="0.3">
      <c r="A266" s="15" t="s">
        <v>307</v>
      </c>
      <c r="B266" s="16">
        <v>0.66666666666666663</v>
      </c>
    </row>
    <row r="273" spans="1:2" x14ac:dyDescent="0.3">
      <c r="A273" s="14" t="s">
        <v>641</v>
      </c>
    </row>
    <row r="274" spans="1:2" x14ac:dyDescent="0.3">
      <c r="A274" s="15" t="s">
        <v>685</v>
      </c>
      <c r="B274" s="13">
        <v>1.3318812785388128</v>
      </c>
    </row>
    <row r="275" spans="1:2" x14ac:dyDescent="0.3">
      <c r="A275" s="15" t="s">
        <v>686</v>
      </c>
      <c r="B275" s="13">
        <v>3.7888127853881275</v>
      </c>
    </row>
    <row r="276" spans="1:2" x14ac:dyDescent="0.3">
      <c r="A276" s="15" t="s">
        <v>687</v>
      </c>
      <c r="B276" s="13">
        <v>5.1206940639269387</v>
      </c>
    </row>
    <row r="282" spans="1:2" x14ac:dyDescent="0.3">
      <c r="A282" s="14" t="s">
        <v>641</v>
      </c>
    </row>
    <row r="283" spans="1:2" x14ac:dyDescent="0.3">
      <c r="A283" s="15" t="s">
        <v>688</v>
      </c>
      <c r="B283" s="13">
        <v>67.13333333333334</v>
      </c>
    </row>
    <row r="284" spans="1:2" x14ac:dyDescent="0.3">
      <c r="A284" s="15" t="s">
        <v>689</v>
      </c>
      <c r="B284" s="13">
        <v>14.866666666666667</v>
      </c>
    </row>
    <row r="285" spans="1:2" x14ac:dyDescent="0.3">
      <c r="A285" s="15" t="s">
        <v>690</v>
      </c>
      <c r="B285" s="13">
        <v>10.866666666666667</v>
      </c>
    </row>
    <row r="286" spans="1:2" x14ac:dyDescent="0.3">
      <c r="A286" s="15" t="s">
        <v>691</v>
      </c>
      <c r="B286" s="13">
        <v>2.7</v>
      </c>
    </row>
    <row r="287" spans="1:2" x14ac:dyDescent="0.3">
      <c r="A287" s="15" t="s">
        <v>692</v>
      </c>
      <c r="B287" s="13">
        <v>32.4</v>
      </c>
    </row>
    <row r="288" spans="1:2" x14ac:dyDescent="0.3">
      <c r="A288" s="15" t="s">
        <v>693</v>
      </c>
      <c r="B288" s="13">
        <v>26.8</v>
      </c>
    </row>
    <row r="289" spans="1:4" x14ac:dyDescent="0.3">
      <c r="A289" s="15" t="s">
        <v>694</v>
      </c>
      <c r="B289" s="13">
        <v>1.1000000000000001</v>
      </c>
    </row>
    <row r="290" spans="1:4" x14ac:dyDescent="0.3">
      <c r="A290" s="15" t="s">
        <v>695</v>
      </c>
      <c r="B290" s="13">
        <v>0.96666666666666667</v>
      </c>
    </row>
    <row r="291" spans="1:4" x14ac:dyDescent="0.3">
      <c r="A291" s="15" t="s">
        <v>696</v>
      </c>
      <c r="B291" s="13">
        <v>1.1000000000000001</v>
      </c>
    </row>
    <row r="293" spans="1:4" x14ac:dyDescent="0.3">
      <c r="B293" s="13"/>
      <c r="C293" s="13"/>
      <c r="D293" s="13"/>
    </row>
    <row r="297" spans="1:4" x14ac:dyDescent="0.3">
      <c r="A297" s="14" t="s">
        <v>641</v>
      </c>
    </row>
    <row r="298" spans="1:4" x14ac:dyDescent="0.3">
      <c r="A298" s="15" t="s">
        <v>697</v>
      </c>
      <c r="B298" s="13">
        <v>3.3333333333333333E-2</v>
      </c>
    </row>
    <row r="299" spans="1:4" x14ac:dyDescent="0.3">
      <c r="A299" s="15" t="s">
        <v>698</v>
      </c>
      <c r="B299" s="13">
        <v>6.4666666666666668</v>
      </c>
    </row>
    <row r="300" spans="1:4" x14ac:dyDescent="0.3">
      <c r="A300" s="15" t="s">
        <v>699</v>
      </c>
      <c r="B300" s="13">
        <v>14.466666666666667</v>
      </c>
    </row>
    <row r="301" spans="1:4" x14ac:dyDescent="0.3">
      <c r="A301" s="15" t="s">
        <v>700</v>
      </c>
      <c r="B301" s="13">
        <v>7.5</v>
      </c>
    </row>
    <row r="302" spans="1:4" x14ac:dyDescent="0.3">
      <c r="A302" s="15" t="s">
        <v>701</v>
      </c>
      <c r="B302" s="13">
        <v>58.5</v>
      </c>
    </row>
    <row r="303" spans="1:4" x14ac:dyDescent="0.3">
      <c r="A303" s="15" t="s">
        <v>702</v>
      </c>
      <c r="B303" s="13">
        <v>0</v>
      </c>
    </row>
    <row r="304" spans="1:4" x14ac:dyDescent="0.3">
      <c r="A304" s="15" t="s">
        <v>703</v>
      </c>
      <c r="B304" s="13">
        <v>13.033333333333333</v>
      </c>
    </row>
    <row r="305" spans="1:4" x14ac:dyDescent="0.3">
      <c r="A305" s="15" t="s">
        <v>704</v>
      </c>
      <c r="B305" s="13">
        <v>0</v>
      </c>
    </row>
    <row r="307" spans="1:4" x14ac:dyDescent="0.3">
      <c r="B307" s="13"/>
      <c r="C307" s="13"/>
      <c r="D307" s="13"/>
    </row>
    <row r="311" spans="1:4" x14ac:dyDescent="0.3">
      <c r="A311" s="14" t="s">
        <v>641</v>
      </c>
    </row>
    <row r="312" spans="1:4" x14ac:dyDescent="0.3">
      <c r="A312" s="15" t="s">
        <v>705</v>
      </c>
      <c r="B312" s="13">
        <v>6.5</v>
      </c>
    </row>
    <row r="313" spans="1:4" x14ac:dyDescent="0.3">
      <c r="A313" s="15" t="s">
        <v>706</v>
      </c>
      <c r="B313" s="13">
        <v>19.033333333333335</v>
      </c>
    </row>
    <row r="314" spans="1:4" x14ac:dyDescent="0.3">
      <c r="A314" s="15" t="s">
        <v>707</v>
      </c>
      <c r="B314" s="13">
        <v>30.666666666666668</v>
      </c>
    </row>
    <row r="315" spans="1:4" x14ac:dyDescent="0.3">
      <c r="A315" s="15" t="s">
        <v>708</v>
      </c>
      <c r="B315" s="13">
        <v>23.4</v>
      </c>
    </row>
    <row r="316" spans="1:4" x14ac:dyDescent="0.3">
      <c r="A316" s="15" t="s">
        <v>709</v>
      </c>
      <c r="B316" s="13">
        <v>19.733333333333334</v>
      </c>
    </row>
    <row r="317" spans="1:4" x14ac:dyDescent="0.3">
      <c r="A317" s="15" t="s">
        <v>710</v>
      </c>
      <c r="B317" s="13">
        <v>0</v>
      </c>
    </row>
    <row r="318" spans="1:4" x14ac:dyDescent="0.3">
      <c r="A318" s="15" t="s">
        <v>711</v>
      </c>
      <c r="B318" s="13">
        <v>0.33333333333333331</v>
      </c>
    </row>
    <row r="319" spans="1:4" x14ac:dyDescent="0.3">
      <c r="A319" s="15" t="s">
        <v>712</v>
      </c>
      <c r="B319" s="13">
        <v>0.33333333333333331</v>
      </c>
    </row>
    <row r="321" spans="1:4" x14ac:dyDescent="0.3">
      <c r="B321" s="13"/>
      <c r="C321" s="13"/>
      <c r="D321" s="13"/>
    </row>
    <row r="325" spans="1:4" x14ac:dyDescent="0.3">
      <c r="A325" s="14" t="s">
        <v>626</v>
      </c>
      <c r="B325" t="s">
        <v>713</v>
      </c>
    </row>
    <row r="326" spans="1:4" x14ac:dyDescent="0.3">
      <c r="A326" s="15" t="s">
        <v>317</v>
      </c>
      <c r="B326" s="16">
        <v>0.96666666666666667</v>
      </c>
    </row>
    <row r="327" spans="1:4" x14ac:dyDescent="0.3">
      <c r="A327" s="15" t="s">
        <v>540</v>
      </c>
      <c r="B327" s="16">
        <v>3.3333333333333333E-2</v>
      </c>
    </row>
    <row r="334" spans="1:4" x14ac:dyDescent="0.3">
      <c r="A334" s="14" t="s">
        <v>626</v>
      </c>
      <c r="B334" t="s">
        <v>883</v>
      </c>
    </row>
    <row r="335" spans="1:4" x14ac:dyDescent="0.3">
      <c r="A335" s="15" t="s">
        <v>306</v>
      </c>
      <c r="B335" s="16">
        <v>0.96666666666666667</v>
      </c>
    </row>
    <row r="336" spans="1:4" x14ac:dyDescent="0.3">
      <c r="A336" s="15" t="s">
        <v>307</v>
      </c>
      <c r="B336" s="16">
        <v>3.3333333333333333E-2</v>
      </c>
    </row>
    <row r="343" spans="1:2" x14ac:dyDescent="0.3">
      <c r="A343" s="14" t="s">
        <v>626</v>
      </c>
      <c r="B343" t="s">
        <v>882</v>
      </c>
    </row>
    <row r="344" spans="1:2" x14ac:dyDescent="0.3">
      <c r="A344" s="15" t="s">
        <v>306</v>
      </c>
      <c r="B344" s="16">
        <v>1</v>
      </c>
    </row>
    <row r="351" spans="1:2" x14ac:dyDescent="0.3">
      <c r="A351" s="14" t="s">
        <v>626</v>
      </c>
      <c r="B351" t="s">
        <v>884</v>
      </c>
    </row>
    <row r="352" spans="1:2" x14ac:dyDescent="0.3">
      <c r="A352" s="15" t="s">
        <v>306</v>
      </c>
      <c r="B352" s="16">
        <v>1</v>
      </c>
    </row>
    <row r="359" spans="1:2" x14ac:dyDescent="0.3">
      <c r="A359" s="14" t="s">
        <v>626</v>
      </c>
      <c r="B359" t="s">
        <v>885</v>
      </c>
    </row>
    <row r="360" spans="1:2" x14ac:dyDescent="0.3">
      <c r="A360" s="15" t="s">
        <v>306</v>
      </c>
      <c r="B360" s="16">
        <v>1</v>
      </c>
    </row>
    <row r="361" spans="1:2" x14ac:dyDescent="0.3">
      <c r="A361" s="15" t="s">
        <v>627</v>
      </c>
      <c r="B361" s="16">
        <v>1</v>
      </c>
    </row>
    <row r="367" spans="1:2" x14ac:dyDescent="0.3">
      <c r="A367" s="14" t="s">
        <v>626</v>
      </c>
      <c r="B367" t="s">
        <v>714</v>
      </c>
    </row>
    <row r="368" spans="1:2" x14ac:dyDescent="0.3">
      <c r="A368" s="15" t="s">
        <v>459</v>
      </c>
      <c r="B368" s="16">
        <v>0.13333333333333333</v>
      </c>
    </row>
    <row r="369" spans="1:2" x14ac:dyDescent="0.3">
      <c r="A369" s="15" t="s">
        <v>318</v>
      </c>
      <c r="B369" s="16">
        <v>0.8666666666666667</v>
      </c>
    </row>
    <row r="376" spans="1:2" x14ac:dyDescent="0.3">
      <c r="A376" s="14" t="s">
        <v>626</v>
      </c>
      <c r="B376" t="s">
        <v>892</v>
      </c>
    </row>
    <row r="377" spans="1:2" x14ac:dyDescent="0.3">
      <c r="A377" s="15" t="s">
        <v>319</v>
      </c>
      <c r="B377" s="16">
        <v>1</v>
      </c>
    </row>
    <row r="384" spans="1:2" x14ac:dyDescent="0.3">
      <c r="A384" s="14" t="s">
        <v>641</v>
      </c>
    </row>
    <row r="385" spans="1:4" x14ac:dyDescent="0.3">
      <c r="A385" s="15" t="s">
        <v>894</v>
      </c>
      <c r="B385" s="13">
        <v>2.0666666666666669</v>
      </c>
    </row>
    <row r="386" spans="1:4" x14ac:dyDescent="0.3">
      <c r="A386" s="15" t="s">
        <v>893</v>
      </c>
      <c r="B386" s="13">
        <v>2.0666666666666669</v>
      </c>
    </row>
    <row r="388" spans="1:4" x14ac:dyDescent="0.3">
      <c r="A388" s="15"/>
      <c r="B388" s="16"/>
      <c r="C388" s="16"/>
      <c r="D388" s="16"/>
    </row>
    <row r="389" spans="1:4" x14ac:dyDescent="0.3">
      <c r="A389" s="15"/>
      <c r="B389" s="16"/>
      <c r="C389" s="16"/>
      <c r="D389" s="16"/>
    </row>
    <row r="390" spans="1:4" x14ac:dyDescent="0.3">
      <c r="A390" s="15"/>
      <c r="B390" s="16"/>
      <c r="C390" s="16"/>
      <c r="D390" s="16"/>
    </row>
    <row r="391" spans="1:4" x14ac:dyDescent="0.3">
      <c r="A391" s="15"/>
      <c r="B391" s="16"/>
      <c r="C391" s="16"/>
      <c r="D391" s="16"/>
    </row>
    <row r="392" spans="1:4" x14ac:dyDescent="0.3">
      <c r="A392" s="14" t="s">
        <v>626</v>
      </c>
      <c r="B392" t="s">
        <v>715</v>
      </c>
    </row>
    <row r="393" spans="1:4" x14ac:dyDescent="0.3">
      <c r="A393" s="15" t="s">
        <v>352</v>
      </c>
      <c r="B393" s="16">
        <v>0.6</v>
      </c>
    </row>
    <row r="394" spans="1:4" x14ac:dyDescent="0.3">
      <c r="A394" s="15" t="s">
        <v>321</v>
      </c>
      <c r="B394" s="16">
        <v>0.26666666666666666</v>
      </c>
    </row>
    <row r="395" spans="1:4" x14ac:dyDescent="0.3">
      <c r="A395" s="15" t="s">
        <v>428</v>
      </c>
      <c r="B395" s="16">
        <v>0.13333333333333333</v>
      </c>
    </row>
    <row r="402" spans="1:2" x14ac:dyDescent="0.3">
      <c r="A402" s="14" t="s">
        <v>626</v>
      </c>
      <c r="B402" t="s">
        <v>722</v>
      </c>
    </row>
    <row r="403" spans="1:2" x14ac:dyDescent="0.3">
      <c r="A403" s="15" t="s">
        <v>378</v>
      </c>
      <c r="B403" s="16">
        <v>0.53333333333333333</v>
      </c>
    </row>
    <row r="404" spans="1:2" x14ac:dyDescent="0.3">
      <c r="A404" s="15" t="s">
        <v>323</v>
      </c>
      <c r="B404" s="16">
        <v>0.43333333333333335</v>
      </c>
    </row>
    <row r="405" spans="1:2" x14ac:dyDescent="0.3">
      <c r="A405" s="15" t="s">
        <v>354</v>
      </c>
      <c r="B405" s="16">
        <v>3.3333333333333333E-2</v>
      </c>
    </row>
    <row r="412" spans="1:2" x14ac:dyDescent="0.3">
      <c r="A412" s="14" t="s">
        <v>626</v>
      </c>
      <c r="B412" t="s">
        <v>723</v>
      </c>
    </row>
    <row r="413" spans="1:2" x14ac:dyDescent="0.3">
      <c r="A413" s="15" t="s">
        <v>440</v>
      </c>
      <c r="B413" s="16">
        <v>0.33333333333333331</v>
      </c>
    </row>
    <row r="414" spans="1:2" x14ac:dyDescent="0.3">
      <c r="A414" s="15" t="s">
        <v>325</v>
      </c>
      <c r="B414" s="16">
        <v>0.66666666666666663</v>
      </c>
    </row>
    <row r="421" spans="1:2" x14ac:dyDescent="0.3">
      <c r="A421" s="14" t="s">
        <v>626</v>
      </c>
      <c r="B421" t="s">
        <v>724</v>
      </c>
    </row>
    <row r="422" spans="1:2" x14ac:dyDescent="0.3">
      <c r="A422" s="15" t="s">
        <v>306</v>
      </c>
      <c r="B422" s="16">
        <v>0.8666666666666667</v>
      </c>
    </row>
    <row r="423" spans="1:2" x14ac:dyDescent="0.3">
      <c r="A423" s="15" t="s">
        <v>307</v>
      </c>
      <c r="B423" s="16">
        <v>0.13333333333333333</v>
      </c>
    </row>
    <row r="430" spans="1:2" x14ac:dyDescent="0.3">
      <c r="A430" s="14" t="s">
        <v>641</v>
      </c>
    </row>
    <row r="431" spans="1:2" x14ac:dyDescent="0.3">
      <c r="A431" s="15" t="s">
        <v>725</v>
      </c>
      <c r="B431" s="13">
        <v>2.2703846153846148</v>
      </c>
    </row>
    <row r="432" spans="1:2" x14ac:dyDescent="0.3">
      <c r="A432" s="15" t="s">
        <v>726</v>
      </c>
      <c r="B432" s="13">
        <v>2.7336666666666662</v>
      </c>
    </row>
    <row r="438" spans="1:4" x14ac:dyDescent="0.3">
      <c r="A438" s="14" t="s">
        <v>641</v>
      </c>
    </row>
    <row r="439" spans="1:4" x14ac:dyDescent="0.3">
      <c r="A439" s="15" t="s">
        <v>727</v>
      </c>
      <c r="B439" s="13">
        <v>4.166666666666667</v>
      </c>
    </row>
    <row r="440" spans="1:4" x14ac:dyDescent="0.3">
      <c r="A440" s="15" t="s">
        <v>728</v>
      </c>
      <c r="B440" s="13">
        <v>62.666666666666664</v>
      </c>
    </row>
    <row r="441" spans="1:4" x14ac:dyDescent="0.3">
      <c r="A441" s="15" t="s">
        <v>729</v>
      </c>
      <c r="B441" s="13">
        <v>23.333333333333332</v>
      </c>
    </row>
    <row r="442" spans="1:4" x14ac:dyDescent="0.3">
      <c r="A442" s="15" t="s">
        <v>730</v>
      </c>
      <c r="B442" s="13">
        <v>5</v>
      </c>
    </row>
    <row r="443" spans="1:4" x14ac:dyDescent="0.3">
      <c r="A443" s="15" t="s">
        <v>731</v>
      </c>
      <c r="B443" s="13">
        <v>4.833333333333333</v>
      </c>
    </row>
    <row r="445" spans="1:4" x14ac:dyDescent="0.3">
      <c r="B445" s="13"/>
      <c r="C445" s="13"/>
      <c r="D445" s="13"/>
    </row>
    <row r="449" spans="1:2" x14ac:dyDescent="0.3">
      <c r="A449" s="14" t="s">
        <v>626</v>
      </c>
      <c r="B449" t="s">
        <v>966</v>
      </c>
    </row>
    <row r="450" spans="1:2" x14ac:dyDescent="0.3">
      <c r="A450" s="15" t="s">
        <v>330</v>
      </c>
      <c r="B450" s="13">
        <v>30</v>
      </c>
    </row>
    <row r="459" spans="1:2" x14ac:dyDescent="0.3">
      <c r="A459" s="14" t="s">
        <v>626</v>
      </c>
      <c r="B459" t="s">
        <v>732</v>
      </c>
    </row>
    <row r="460" spans="1:2" x14ac:dyDescent="0.3">
      <c r="A460" s="15" t="s">
        <v>331</v>
      </c>
      <c r="B460" s="16">
        <v>0.53333333333333333</v>
      </c>
    </row>
    <row r="461" spans="1:2" x14ac:dyDescent="0.3">
      <c r="A461" s="15" t="s">
        <v>383</v>
      </c>
      <c r="B461" s="16">
        <v>0.43333333333333335</v>
      </c>
    </row>
    <row r="462" spans="1:2" x14ac:dyDescent="0.3">
      <c r="A462" s="15" t="s">
        <v>545</v>
      </c>
      <c r="B462" s="16">
        <v>3.3333333333333333E-2</v>
      </c>
    </row>
    <row r="469" spans="1:2" x14ac:dyDescent="0.3">
      <c r="A469" s="14" t="s">
        <v>626</v>
      </c>
      <c r="B469" t="s">
        <v>733</v>
      </c>
    </row>
    <row r="470" spans="1:2" x14ac:dyDescent="0.3">
      <c r="A470" s="15" t="s">
        <v>385</v>
      </c>
      <c r="B470" s="16">
        <v>0.5</v>
      </c>
    </row>
    <row r="471" spans="1:2" x14ac:dyDescent="0.3">
      <c r="A471" s="15" t="s">
        <v>333</v>
      </c>
      <c r="B471" s="16">
        <v>0.2</v>
      </c>
    </row>
    <row r="472" spans="1:2" x14ac:dyDescent="0.3">
      <c r="A472" s="15" t="s">
        <v>498</v>
      </c>
      <c r="B472" s="16">
        <v>0.16666666666666666</v>
      </c>
    </row>
    <row r="473" spans="1:2" x14ac:dyDescent="0.3">
      <c r="A473" s="15" t="s">
        <v>407</v>
      </c>
      <c r="B473" s="16">
        <v>0.13333333333333333</v>
      </c>
    </row>
    <row r="480" spans="1:2" x14ac:dyDescent="0.3">
      <c r="A480" s="14" t="s">
        <v>641</v>
      </c>
    </row>
    <row r="481" spans="1:2" x14ac:dyDescent="0.3">
      <c r="A481" s="15" t="s">
        <v>734</v>
      </c>
      <c r="B481" s="13">
        <v>3.2100000000000004</v>
      </c>
    </row>
    <row r="482" spans="1:2" x14ac:dyDescent="0.3">
      <c r="A482" s="15" t="s">
        <v>735</v>
      </c>
      <c r="B482" s="13">
        <v>2.86</v>
      </c>
    </row>
    <row r="483" spans="1:2" x14ac:dyDescent="0.3">
      <c r="A483" s="15" t="s">
        <v>736</v>
      </c>
      <c r="B483" s="13">
        <v>104</v>
      </c>
    </row>
    <row r="484" spans="1:2" x14ac:dyDescent="0.3">
      <c r="A484" s="15" t="s">
        <v>737</v>
      </c>
      <c r="B484" s="13">
        <v>25.786666666666669</v>
      </c>
    </row>
    <row r="485" spans="1:2" x14ac:dyDescent="0.3">
      <c r="A485" s="15" t="s">
        <v>738</v>
      </c>
      <c r="B485" s="13">
        <v>27.18</v>
      </c>
    </row>
    <row r="486" spans="1:2" x14ac:dyDescent="0.3">
      <c r="A486" s="15" t="s">
        <v>739</v>
      </c>
      <c r="B486" s="13">
        <v>3.3533333333333335</v>
      </c>
    </row>
    <row r="487" spans="1:2" x14ac:dyDescent="0.3">
      <c r="A487" s="15" t="s">
        <v>740</v>
      </c>
      <c r="B487" s="13">
        <v>2.4500000000000002</v>
      </c>
    </row>
    <row r="492" spans="1:2" x14ac:dyDescent="0.3">
      <c r="A492" s="14" t="s">
        <v>626</v>
      </c>
      <c r="B492" t="s">
        <v>1014</v>
      </c>
    </row>
    <row r="493" spans="1:2" x14ac:dyDescent="0.3">
      <c r="A493" s="15" t="s">
        <v>337</v>
      </c>
      <c r="B493" s="16">
        <v>0.93333333333333335</v>
      </c>
    </row>
    <row r="494" spans="1:2" x14ac:dyDescent="0.3">
      <c r="A494" s="15" t="s">
        <v>434</v>
      </c>
      <c r="B494" s="16">
        <v>6.6666666666666666E-2</v>
      </c>
    </row>
    <row r="501" spans="1:2" x14ac:dyDescent="0.3">
      <c r="A501" s="14" t="s">
        <v>626</v>
      </c>
      <c r="B501" t="s">
        <v>741</v>
      </c>
    </row>
    <row r="502" spans="1:2" x14ac:dyDescent="0.3">
      <c r="A502" s="15" t="s">
        <v>619</v>
      </c>
      <c r="B502" s="16">
        <v>3.3333333333333333E-2</v>
      </c>
    </row>
    <row r="503" spans="1:2" x14ac:dyDescent="0.3">
      <c r="A503" s="15" t="s">
        <v>364</v>
      </c>
      <c r="B503" s="16">
        <v>0.3</v>
      </c>
    </row>
    <row r="504" spans="1:2" x14ac:dyDescent="0.3">
      <c r="A504" s="15" t="s">
        <v>338</v>
      </c>
      <c r="B504" s="16">
        <v>0.6333333333333333</v>
      </c>
    </row>
    <row r="505" spans="1:2" x14ac:dyDescent="0.3">
      <c r="A505" s="15" t="s">
        <v>422</v>
      </c>
      <c r="B505" s="16">
        <v>3.3333333333333333E-2</v>
      </c>
    </row>
    <row r="512" spans="1:2" x14ac:dyDescent="0.3">
      <c r="A512" s="14" t="s">
        <v>626</v>
      </c>
      <c r="B512" t="s">
        <v>742</v>
      </c>
    </row>
    <row r="513" spans="1:2" x14ac:dyDescent="0.3">
      <c r="A513" s="15" t="s">
        <v>341</v>
      </c>
      <c r="B513" s="16">
        <v>0.83333333333333337</v>
      </c>
    </row>
    <row r="514" spans="1:2" x14ac:dyDescent="0.3">
      <c r="A514" s="15" t="s">
        <v>454</v>
      </c>
      <c r="B514" s="16">
        <v>0.13333333333333333</v>
      </c>
    </row>
    <row r="515" spans="1:2" x14ac:dyDescent="0.3">
      <c r="A515" s="15" t="s">
        <v>62</v>
      </c>
      <c r="B515" s="16">
        <v>3.3333333333333333E-2</v>
      </c>
    </row>
    <row r="522" spans="1:2" x14ac:dyDescent="0.3">
      <c r="A522" s="14" t="s">
        <v>626</v>
      </c>
      <c r="B522" t="s">
        <v>743</v>
      </c>
    </row>
    <row r="523" spans="1:2" x14ac:dyDescent="0.3">
      <c r="A523" s="15" t="s">
        <v>341</v>
      </c>
      <c r="B523" s="16">
        <v>1</v>
      </c>
    </row>
    <row r="530" spans="1:2" x14ac:dyDescent="0.3">
      <c r="A530" s="14" t="s">
        <v>626</v>
      </c>
      <c r="B530" t="s">
        <v>744</v>
      </c>
    </row>
    <row r="531" spans="1:2" x14ac:dyDescent="0.3">
      <c r="A531" s="15" t="s">
        <v>341</v>
      </c>
      <c r="B531" s="16">
        <v>0.8</v>
      </c>
    </row>
    <row r="532" spans="1:2" x14ac:dyDescent="0.3">
      <c r="A532" s="15" t="s">
        <v>454</v>
      </c>
      <c r="B532" s="16">
        <v>0.2</v>
      </c>
    </row>
    <row r="539" spans="1:2" x14ac:dyDescent="0.3">
      <c r="A539" s="14" t="s">
        <v>626</v>
      </c>
      <c r="B539" t="s">
        <v>745</v>
      </c>
    </row>
    <row r="540" spans="1:2" x14ac:dyDescent="0.3">
      <c r="A540" s="15" t="s">
        <v>306</v>
      </c>
      <c r="B540" s="16">
        <v>0.36666666666666664</v>
      </c>
    </row>
    <row r="541" spans="1:2" x14ac:dyDescent="0.3">
      <c r="A541" s="15" t="s">
        <v>307</v>
      </c>
      <c r="B541" s="16">
        <v>0.6333333333333333</v>
      </c>
    </row>
    <row r="548" spans="1:2" x14ac:dyDescent="0.3">
      <c r="A548" s="14" t="s">
        <v>626</v>
      </c>
      <c r="B548" t="s">
        <v>746</v>
      </c>
    </row>
    <row r="549" spans="1:2" x14ac:dyDescent="0.3">
      <c r="A549" s="15" t="s">
        <v>342</v>
      </c>
      <c r="B549" s="16">
        <v>0.66666666666666663</v>
      </c>
    </row>
    <row r="550" spans="1:2" x14ac:dyDescent="0.3">
      <c r="A550" s="15" t="s">
        <v>423</v>
      </c>
      <c r="B550" s="16">
        <v>0.16666666666666666</v>
      </c>
    </row>
    <row r="551" spans="1:2" x14ac:dyDescent="0.3">
      <c r="A551" s="15" t="s">
        <v>477</v>
      </c>
      <c r="B551" s="16">
        <v>0.1</v>
      </c>
    </row>
    <row r="552" spans="1:2" x14ac:dyDescent="0.3">
      <c r="A552" s="15" t="s">
        <v>62</v>
      </c>
      <c r="B552" s="16">
        <v>6.6666666666666666E-2</v>
      </c>
    </row>
    <row r="556" spans="1:2" s="20" customFormat="1" x14ac:dyDescent="0.3"/>
    <row r="559" spans="1:2" x14ac:dyDescent="0.3">
      <c r="A559" s="14" t="s">
        <v>641</v>
      </c>
    </row>
    <row r="560" spans="1:2" x14ac:dyDescent="0.3">
      <c r="A560" s="15" t="s">
        <v>747</v>
      </c>
      <c r="B560" s="13">
        <v>27</v>
      </c>
    </row>
    <row r="561" spans="1:4" x14ac:dyDescent="0.3">
      <c r="A561" s="15" t="s">
        <v>748</v>
      </c>
      <c r="B561" s="13">
        <v>26</v>
      </c>
    </row>
    <row r="562" spans="1:4" x14ac:dyDescent="0.3">
      <c r="A562" s="15" t="s">
        <v>749</v>
      </c>
      <c r="B562" s="13">
        <v>25</v>
      </c>
    </row>
    <row r="563" spans="1:4" x14ac:dyDescent="0.3">
      <c r="A563" s="15" t="s">
        <v>750</v>
      </c>
      <c r="B563" s="13">
        <v>26</v>
      </c>
    </row>
    <row r="564" spans="1:4" x14ac:dyDescent="0.3">
      <c r="A564" s="15" t="s">
        <v>751</v>
      </c>
      <c r="B564" s="13">
        <v>23</v>
      </c>
    </row>
    <row r="565" spans="1:4" x14ac:dyDescent="0.3">
      <c r="A565" s="15" t="s">
        <v>752</v>
      </c>
      <c r="B565" s="13">
        <v>13</v>
      </c>
    </row>
    <row r="566" spans="1:4" x14ac:dyDescent="0.3">
      <c r="A566" s="15" t="s">
        <v>753</v>
      </c>
      <c r="B566" s="13">
        <v>4</v>
      </c>
    </row>
    <row r="567" spans="1:4" x14ac:dyDescent="0.3">
      <c r="A567" s="15" t="s">
        <v>754</v>
      </c>
      <c r="B567" s="13">
        <v>17</v>
      </c>
    </row>
    <row r="573" spans="1:4" x14ac:dyDescent="0.3">
      <c r="A573" s="24" t="s">
        <v>641</v>
      </c>
      <c r="B573" s="24"/>
      <c r="C573" s="17"/>
      <c r="D573" s="17"/>
    </row>
    <row r="574" spans="1:4" x14ac:dyDescent="0.3">
      <c r="A574" s="15" t="s">
        <v>7</v>
      </c>
      <c r="B574" s="19">
        <f>B560/$B$11</f>
        <v>0.9</v>
      </c>
      <c r="C574" s="19"/>
      <c r="D574" s="19"/>
    </row>
    <row r="575" spans="1:4" x14ac:dyDescent="0.3">
      <c r="A575" s="15" t="s">
        <v>8</v>
      </c>
      <c r="B575" s="19">
        <f t="shared" ref="B575:B581" si="0">B561/$B$11</f>
        <v>0.8666666666666667</v>
      </c>
      <c r="C575" s="19"/>
      <c r="D575" s="19"/>
    </row>
    <row r="576" spans="1:4" x14ac:dyDescent="0.3">
      <c r="A576" s="15" t="s">
        <v>9</v>
      </c>
      <c r="B576" s="19">
        <f t="shared" si="0"/>
        <v>0.83333333333333337</v>
      </c>
      <c r="C576" s="19"/>
      <c r="D576" s="19"/>
    </row>
    <row r="577" spans="1:4" x14ac:dyDescent="0.3">
      <c r="A577" s="15" t="s">
        <v>10</v>
      </c>
      <c r="B577" s="19">
        <f t="shared" si="0"/>
        <v>0.8666666666666667</v>
      </c>
      <c r="C577" s="19"/>
      <c r="D577" s="19"/>
    </row>
    <row r="578" spans="1:4" x14ac:dyDescent="0.3">
      <c r="A578" s="15" t="s">
        <v>11</v>
      </c>
      <c r="B578" s="19">
        <f t="shared" si="0"/>
        <v>0.76666666666666672</v>
      </c>
      <c r="C578" s="19"/>
      <c r="D578" s="19"/>
    </row>
    <row r="579" spans="1:4" x14ac:dyDescent="0.3">
      <c r="A579" s="15" t="s">
        <v>12</v>
      </c>
      <c r="B579" s="19">
        <f t="shared" si="0"/>
        <v>0.43333333333333335</v>
      </c>
      <c r="C579" s="19"/>
      <c r="D579" s="19"/>
    </row>
    <row r="580" spans="1:4" x14ac:dyDescent="0.3">
      <c r="A580" s="15" t="s">
        <v>13</v>
      </c>
      <c r="B580" s="19">
        <f t="shared" si="0"/>
        <v>0.13333333333333333</v>
      </c>
      <c r="C580" s="19"/>
      <c r="D580" s="19"/>
    </row>
    <row r="581" spans="1:4" x14ac:dyDescent="0.3">
      <c r="A581" s="15" t="s">
        <v>14</v>
      </c>
      <c r="B581" s="19">
        <f t="shared" si="0"/>
        <v>0.56666666666666665</v>
      </c>
      <c r="C581" s="19"/>
      <c r="D581" s="19"/>
    </row>
    <row r="586" spans="1:4" x14ac:dyDescent="0.3">
      <c r="A586" s="14" t="s">
        <v>641</v>
      </c>
    </row>
    <row r="587" spans="1:4" x14ac:dyDescent="0.3">
      <c r="A587" s="15" t="s">
        <v>755</v>
      </c>
      <c r="B587" s="13">
        <v>1</v>
      </c>
    </row>
    <row r="588" spans="1:4" x14ac:dyDescent="0.3">
      <c r="A588" s="15" t="s">
        <v>756</v>
      </c>
      <c r="B588" s="13">
        <v>3</v>
      </c>
    </row>
    <row r="589" spans="1:4" x14ac:dyDescent="0.3">
      <c r="A589" s="15" t="s">
        <v>757</v>
      </c>
      <c r="B589" s="13">
        <v>7</v>
      </c>
    </row>
    <row r="590" spans="1:4" x14ac:dyDescent="0.3">
      <c r="A590" s="15" t="s">
        <v>758</v>
      </c>
      <c r="B590" s="13">
        <v>5</v>
      </c>
    </row>
    <row r="591" spans="1:4" x14ac:dyDescent="0.3">
      <c r="A591" s="15" t="s">
        <v>760</v>
      </c>
      <c r="B591" s="13"/>
    </row>
    <row r="592" spans="1:4" x14ac:dyDescent="0.3">
      <c r="A592" s="15" t="s">
        <v>761</v>
      </c>
      <c r="B592" s="13"/>
    </row>
    <row r="593" spans="1:4" x14ac:dyDescent="0.3">
      <c r="A593" s="15" t="s">
        <v>759</v>
      </c>
      <c r="B593" s="13">
        <v>1</v>
      </c>
    </row>
    <row r="594" spans="1:4" x14ac:dyDescent="0.3">
      <c r="A594" s="15" t="s">
        <v>762</v>
      </c>
      <c r="B594" s="13"/>
    </row>
    <row r="595" spans="1:4" x14ac:dyDescent="0.3">
      <c r="A595" s="15" t="s">
        <v>763</v>
      </c>
      <c r="B595" s="13"/>
    </row>
    <row r="596" spans="1:4" x14ac:dyDescent="0.3">
      <c r="A596" s="15" t="s">
        <v>764</v>
      </c>
      <c r="B596" s="13">
        <v>17</v>
      </c>
    </row>
    <row r="598" spans="1:4" x14ac:dyDescent="0.3">
      <c r="A598" s="15"/>
    </row>
    <row r="599" spans="1:4" x14ac:dyDescent="0.3">
      <c r="A599" s="15"/>
    </row>
    <row r="602" spans="1:4" x14ac:dyDescent="0.3">
      <c r="A602" s="24" t="s">
        <v>641</v>
      </c>
      <c r="B602" s="24"/>
      <c r="C602" s="17"/>
      <c r="D602" s="17"/>
    </row>
    <row r="603" spans="1:4" x14ac:dyDescent="0.3">
      <c r="A603" s="15" t="s">
        <v>41</v>
      </c>
      <c r="B603" s="19">
        <f>B587/$B$11</f>
        <v>3.3333333333333333E-2</v>
      </c>
      <c r="C603" s="19"/>
      <c r="D603" s="19"/>
    </row>
    <row r="604" spans="1:4" x14ac:dyDescent="0.3">
      <c r="A604" s="15" t="s">
        <v>42</v>
      </c>
      <c r="B604" s="19">
        <f t="shared" ref="B604:B612" si="1">B588/$B$11</f>
        <v>0.1</v>
      </c>
      <c r="C604" s="19"/>
      <c r="D604" s="19"/>
    </row>
    <row r="605" spans="1:4" x14ac:dyDescent="0.3">
      <c r="A605" s="15" t="s">
        <v>43</v>
      </c>
      <c r="B605" s="19">
        <f t="shared" si="1"/>
        <v>0.23333333333333334</v>
      </c>
      <c r="C605" s="19"/>
      <c r="D605" s="19"/>
    </row>
    <row r="606" spans="1:4" x14ac:dyDescent="0.3">
      <c r="A606" s="15" t="s">
        <v>44</v>
      </c>
      <c r="B606" s="19">
        <f t="shared" si="1"/>
        <v>0.16666666666666666</v>
      </c>
      <c r="C606" s="19"/>
      <c r="D606" s="19"/>
    </row>
    <row r="607" spans="1:4" x14ac:dyDescent="0.3">
      <c r="A607" s="15" t="s">
        <v>45</v>
      </c>
      <c r="B607" s="19">
        <f t="shared" si="1"/>
        <v>0</v>
      </c>
      <c r="C607" s="19"/>
      <c r="D607" s="19"/>
    </row>
    <row r="608" spans="1:4" x14ac:dyDescent="0.3">
      <c r="A608" s="15" t="s">
        <v>46</v>
      </c>
      <c r="B608" s="19">
        <f t="shared" si="1"/>
        <v>0</v>
      </c>
      <c r="C608" s="19"/>
      <c r="D608" s="19"/>
    </row>
    <row r="609" spans="1:4" x14ac:dyDescent="0.3">
      <c r="A609" s="15" t="s">
        <v>47</v>
      </c>
      <c r="B609" s="19">
        <f t="shared" si="1"/>
        <v>3.3333333333333333E-2</v>
      </c>
      <c r="C609" s="19"/>
      <c r="D609" s="19"/>
    </row>
    <row r="610" spans="1:4" x14ac:dyDescent="0.3">
      <c r="A610" s="15" t="s">
        <v>48</v>
      </c>
      <c r="B610" s="19">
        <f t="shared" si="1"/>
        <v>0</v>
      </c>
      <c r="C610" s="19"/>
      <c r="D610" s="19"/>
    </row>
    <row r="611" spans="1:4" x14ac:dyDescent="0.3">
      <c r="A611" s="15" t="s">
        <v>49</v>
      </c>
      <c r="B611" s="19">
        <f t="shared" si="1"/>
        <v>0</v>
      </c>
      <c r="C611" s="19"/>
      <c r="D611" s="19"/>
    </row>
    <row r="612" spans="1:4" x14ac:dyDescent="0.3">
      <c r="A612" s="15" t="s">
        <v>50</v>
      </c>
      <c r="B612" s="19">
        <f t="shared" si="1"/>
        <v>0.56666666666666665</v>
      </c>
      <c r="C612" s="19"/>
      <c r="D612" s="19"/>
    </row>
    <row r="617" spans="1:4" x14ac:dyDescent="0.3">
      <c r="A617" s="14" t="s">
        <v>641</v>
      </c>
    </row>
    <row r="618" spans="1:4" x14ac:dyDescent="0.3">
      <c r="A618" s="15" t="s">
        <v>765</v>
      </c>
      <c r="B618" s="13">
        <v>20</v>
      </c>
    </row>
    <row r="619" spans="1:4" x14ac:dyDescent="0.3">
      <c r="A619" s="15" t="s">
        <v>766</v>
      </c>
      <c r="B619" s="13">
        <v>13</v>
      </c>
    </row>
    <row r="620" spans="1:4" x14ac:dyDescent="0.3">
      <c r="A620" s="15" t="s">
        <v>767</v>
      </c>
      <c r="B620" s="13">
        <v>14</v>
      </c>
    </row>
    <row r="621" spans="1:4" x14ac:dyDescent="0.3">
      <c r="A621" s="15" t="s">
        <v>768</v>
      </c>
      <c r="B621" s="13">
        <v>9</v>
      </c>
    </row>
    <row r="622" spans="1:4" x14ac:dyDescent="0.3">
      <c r="A622" s="15" t="s">
        <v>769</v>
      </c>
      <c r="B622" s="13">
        <v>6</v>
      </c>
    </row>
    <row r="623" spans="1:4" x14ac:dyDescent="0.3">
      <c r="A623" s="15" t="s">
        <v>770</v>
      </c>
      <c r="B623" s="13">
        <v>7</v>
      </c>
    </row>
    <row r="624" spans="1:4" x14ac:dyDescent="0.3">
      <c r="A624" s="15" t="s">
        <v>771</v>
      </c>
      <c r="B624" s="13"/>
    </row>
    <row r="625" spans="1:4" x14ac:dyDescent="0.3">
      <c r="A625" s="15" t="s">
        <v>846</v>
      </c>
      <c r="B625" s="13">
        <v>1</v>
      </c>
    </row>
    <row r="626" spans="1:4" x14ac:dyDescent="0.3">
      <c r="A626" s="15" t="s">
        <v>772</v>
      </c>
      <c r="B626" s="13"/>
    </row>
    <row r="629" spans="1:4" x14ac:dyDescent="0.3">
      <c r="A629" s="15"/>
    </row>
    <row r="630" spans="1:4" x14ac:dyDescent="0.3">
      <c r="A630" s="15"/>
    </row>
    <row r="632" spans="1:4" x14ac:dyDescent="0.3">
      <c r="A632" s="24" t="s">
        <v>641</v>
      </c>
      <c r="B632" s="24"/>
      <c r="C632" s="17"/>
      <c r="D632" s="17"/>
    </row>
    <row r="633" spans="1:4" x14ac:dyDescent="0.3">
      <c r="A633" s="15" t="s">
        <v>54</v>
      </c>
      <c r="B633" s="19">
        <f>B618/$B$11</f>
        <v>0.66666666666666663</v>
      </c>
      <c r="C633" s="19"/>
      <c r="D633" s="19"/>
    </row>
    <row r="634" spans="1:4" x14ac:dyDescent="0.3">
      <c r="A634" s="15" t="s">
        <v>55</v>
      </c>
      <c r="B634" s="19">
        <f t="shared" ref="B634:B641" si="2">B619/$B$11</f>
        <v>0.43333333333333335</v>
      </c>
      <c r="C634" s="19"/>
      <c r="D634" s="19"/>
    </row>
    <row r="635" spans="1:4" x14ac:dyDescent="0.3">
      <c r="A635" s="15" t="s">
        <v>56</v>
      </c>
      <c r="B635" s="19">
        <f t="shared" si="2"/>
        <v>0.46666666666666667</v>
      </c>
      <c r="C635" s="19"/>
      <c r="D635" s="19"/>
    </row>
    <row r="636" spans="1:4" x14ac:dyDescent="0.3">
      <c r="A636" s="15" t="s">
        <v>57</v>
      </c>
      <c r="B636" s="19">
        <f t="shared" si="2"/>
        <v>0.3</v>
      </c>
      <c r="C636" s="19"/>
      <c r="D636" s="19"/>
    </row>
    <row r="637" spans="1:4" x14ac:dyDescent="0.3">
      <c r="A637" s="15" t="s">
        <v>58</v>
      </c>
      <c r="B637" s="19">
        <f t="shared" si="2"/>
        <v>0.2</v>
      </c>
      <c r="C637" s="19"/>
      <c r="D637" s="19"/>
    </row>
    <row r="638" spans="1:4" x14ac:dyDescent="0.3">
      <c r="A638" s="15" t="s">
        <v>59</v>
      </c>
      <c r="B638" s="19">
        <f t="shared" si="2"/>
        <v>0.23333333333333334</v>
      </c>
      <c r="C638" s="19"/>
      <c r="D638" s="19"/>
    </row>
    <row r="639" spans="1:4" x14ac:dyDescent="0.3">
      <c r="A639" s="15" t="s">
        <v>60</v>
      </c>
      <c r="B639" s="19">
        <f t="shared" si="2"/>
        <v>0</v>
      </c>
      <c r="C639" s="19"/>
      <c r="D639" s="19"/>
    </row>
    <row r="640" spans="1:4" x14ac:dyDescent="0.3">
      <c r="A640" s="15" t="s">
        <v>61</v>
      </c>
      <c r="B640" s="19">
        <f t="shared" si="2"/>
        <v>3.3333333333333333E-2</v>
      </c>
      <c r="C640" s="19"/>
      <c r="D640" s="19"/>
    </row>
    <row r="641" spans="1:4" x14ac:dyDescent="0.3">
      <c r="A641" s="15" t="s">
        <v>62</v>
      </c>
      <c r="B641" s="19">
        <f t="shared" si="2"/>
        <v>0</v>
      </c>
      <c r="C641" s="19"/>
      <c r="D641" s="19"/>
    </row>
    <row r="646" spans="1:4" x14ac:dyDescent="0.3">
      <c r="A646" s="14" t="s">
        <v>641</v>
      </c>
    </row>
    <row r="647" spans="1:4" x14ac:dyDescent="0.3">
      <c r="A647" s="15" t="s">
        <v>773</v>
      </c>
      <c r="B647" s="13">
        <v>17</v>
      </c>
    </row>
    <row r="648" spans="1:4" x14ac:dyDescent="0.3">
      <c r="A648" s="15" t="s">
        <v>774</v>
      </c>
      <c r="B648" s="13">
        <v>9</v>
      </c>
    </row>
    <row r="649" spans="1:4" x14ac:dyDescent="0.3">
      <c r="A649" s="15" t="s">
        <v>775</v>
      </c>
      <c r="B649" s="13">
        <v>8</v>
      </c>
    </row>
    <row r="650" spans="1:4" x14ac:dyDescent="0.3">
      <c r="A650" s="15" t="s">
        <v>776</v>
      </c>
      <c r="B650" s="13"/>
    </row>
    <row r="651" spans="1:4" x14ac:dyDescent="0.3">
      <c r="A651" s="15" t="s">
        <v>777</v>
      </c>
      <c r="B651" s="13">
        <v>1</v>
      </c>
    </row>
    <row r="652" spans="1:4" x14ac:dyDescent="0.3">
      <c r="A652" s="15" t="s">
        <v>778</v>
      </c>
      <c r="B652" s="13">
        <v>13</v>
      </c>
    </row>
    <row r="653" spans="1:4" x14ac:dyDescent="0.3">
      <c r="A653" s="15" t="s">
        <v>779</v>
      </c>
      <c r="B653" s="13">
        <v>2</v>
      </c>
    </row>
    <row r="654" spans="1:4" x14ac:dyDescent="0.3">
      <c r="A654" s="15" t="s">
        <v>780</v>
      </c>
      <c r="B654" s="13">
        <v>8</v>
      </c>
    </row>
    <row r="655" spans="1:4" x14ac:dyDescent="0.3">
      <c r="A655" s="15" t="s">
        <v>781</v>
      </c>
      <c r="B655" s="13">
        <v>2</v>
      </c>
    </row>
    <row r="656" spans="1:4" x14ac:dyDescent="0.3">
      <c r="A656" s="15" t="s">
        <v>782</v>
      </c>
      <c r="B656" s="13">
        <v>1</v>
      </c>
    </row>
    <row r="657" spans="1:4" x14ac:dyDescent="0.3">
      <c r="A657" s="15" t="s">
        <v>783</v>
      </c>
      <c r="B657" s="13">
        <v>1</v>
      </c>
    </row>
    <row r="658" spans="1:4" x14ac:dyDescent="0.3">
      <c r="A658" s="15" t="s">
        <v>784</v>
      </c>
      <c r="B658" s="13">
        <v>1</v>
      </c>
    </row>
    <row r="660" spans="1:4" x14ac:dyDescent="0.3">
      <c r="A660" s="15"/>
    </row>
    <row r="661" spans="1:4" x14ac:dyDescent="0.3">
      <c r="A661" s="15"/>
    </row>
    <row r="662" spans="1:4" x14ac:dyDescent="0.3">
      <c r="A662" s="15"/>
    </row>
    <row r="664" spans="1:4" x14ac:dyDescent="0.3">
      <c r="A664" s="24" t="s">
        <v>641</v>
      </c>
      <c r="B664" s="24"/>
      <c r="C664" s="17"/>
      <c r="D664" s="17"/>
    </row>
    <row r="665" spans="1:4" x14ac:dyDescent="0.3">
      <c r="A665" s="15" t="s">
        <v>64</v>
      </c>
      <c r="B665" s="19">
        <f>B647/$B$11</f>
        <v>0.56666666666666665</v>
      </c>
      <c r="C665" s="19"/>
      <c r="D665" s="19"/>
    </row>
    <row r="666" spans="1:4" x14ac:dyDescent="0.3">
      <c r="A666" s="15" t="s">
        <v>65</v>
      </c>
      <c r="B666" s="19">
        <f t="shared" ref="B666:B676" si="3">B648/$B$11</f>
        <v>0.3</v>
      </c>
      <c r="C666" s="19"/>
      <c r="D666" s="19"/>
    </row>
    <row r="667" spans="1:4" x14ac:dyDescent="0.3">
      <c r="A667" s="15" t="s">
        <v>66</v>
      </c>
      <c r="B667" s="19">
        <f t="shared" si="3"/>
        <v>0.26666666666666666</v>
      </c>
      <c r="C667" s="19"/>
      <c r="D667" s="19"/>
    </row>
    <row r="668" spans="1:4" x14ac:dyDescent="0.3">
      <c r="A668" s="15" t="s">
        <v>67</v>
      </c>
      <c r="B668" s="19">
        <f t="shared" si="3"/>
        <v>0</v>
      </c>
      <c r="C668" s="19"/>
      <c r="D668" s="19"/>
    </row>
    <row r="669" spans="1:4" x14ac:dyDescent="0.3">
      <c r="A669" s="15" t="s">
        <v>68</v>
      </c>
      <c r="B669" s="19">
        <f t="shared" si="3"/>
        <v>3.3333333333333333E-2</v>
      </c>
      <c r="C669" s="19"/>
      <c r="D669" s="19"/>
    </row>
    <row r="670" spans="1:4" x14ac:dyDescent="0.3">
      <c r="A670" s="15" t="s">
        <v>69</v>
      </c>
      <c r="B670" s="19">
        <f t="shared" si="3"/>
        <v>0.43333333333333335</v>
      </c>
      <c r="C670" s="19"/>
      <c r="D670" s="19"/>
    </row>
    <row r="671" spans="1:4" x14ac:dyDescent="0.3">
      <c r="A671" s="15" t="s">
        <v>71</v>
      </c>
      <c r="B671" s="19">
        <f t="shared" si="3"/>
        <v>6.6666666666666666E-2</v>
      </c>
      <c r="C671" s="19"/>
      <c r="D671" s="19"/>
    </row>
    <row r="672" spans="1:4" x14ac:dyDescent="0.3">
      <c r="A672" s="15" t="s">
        <v>70</v>
      </c>
      <c r="B672" s="19">
        <f t="shared" si="3"/>
        <v>0.26666666666666666</v>
      </c>
      <c r="C672" s="19"/>
      <c r="D672" s="19"/>
    </row>
    <row r="673" spans="1:4" x14ac:dyDescent="0.3">
      <c r="A673" s="15" t="s">
        <v>72</v>
      </c>
      <c r="B673" s="19">
        <f t="shared" si="3"/>
        <v>6.6666666666666666E-2</v>
      </c>
      <c r="C673" s="19"/>
      <c r="D673" s="19"/>
    </row>
    <row r="674" spans="1:4" x14ac:dyDescent="0.3">
      <c r="A674" s="15" t="s">
        <v>73</v>
      </c>
      <c r="B674" s="19">
        <f t="shared" si="3"/>
        <v>3.3333333333333333E-2</v>
      </c>
      <c r="C674" s="19"/>
      <c r="D674" s="19"/>
    </row>
    <row r="675" spans="1:4" x14ac:dyDescent="0.3">
      <c r="A675" s="15" t="s">
        <v>74</v>
      </c>
      <c r="B675" s="19">
        <f t="shared" si="3"/>
        <v>3.3333333333333333E-2</v>
      </c>
      <c r="C675" s="19"/>
      <c r="D675" s="19"/>
    </row>
    <row r="676" spans="1:4" x14ac:dyDescent="0.3">
      <c r="A676" s="15" t="s">
        <v>62</v>
      </c>
      <c r="B676" s="19">
        <f t="shared" si="3"/>
        <v>3.3333333333333333E-2</v>
      </c>
      <c r="C676" s="19"/>
      <c r="D676" s="19"/>
    </row>
    <row r="681" spans="1:4" x14ac:dyDescent="0.3">
      <c r="A681" s="14" t="s">
        <v>641</v>
      </c>
    </row>
    <row r="682" spans="1:4" x14ac:dyDescent="0.3">
      <c r="A682" s="15" t="s">
        <v>785</v>
      </c>
      <c r="B682" s="13">
        <v>9</v>
      </c>
    </row>
    <row r="683" spans="1:4" x14ac:dyDescent="0.3">
      <c r="A683" s="15" t="s">
        <v>786</v>
      </c>
      <c r="B683" s="13">
        <v>10</v>
      </c>
    </row>
    <row r="684" spans="1:4" x14ac:dyDescent="0.3">
      <c r="A684" s="15" t="s">
        <v>787</v>
      </c>
      <c r="B684" s="13">
        <v>18</v>
      </c>
    </row>
    <row r="685" spans="1:4" x14ac:dyDescent="0.3">
      <c r="A685" s="15" t="s">
        <v>788</v>
      </c>
      <c r="B685" s="13">
        <v>15</v>
      </c>
    </row>
    <row r="686" spans="1:4" x14ac:dyDescent="0.3">
      <c r="A686" s="15" t="s">
        <v>789</v>
      </c>
      <c r="B686" s="13">
        <v>8</v>
      </c>
    </row>
    <row r="687" spans="1:4" x14ac:dyDescent="0.3">
      <c r="A687" s="15" t="s">
        <v>790</v>
      </c>
      <c r="B687" s="13">
        <v>11</v>
      </c>
    </row>
    <row r="688" spans="1:4" x14ac:dyDescent="0.3">
      <c r="A688" s="15" t="s">
        <v>791</v>
      </c>
      <c r="B688" s="13">
        <v>10</v>
      </c>
    </row>
    <row r="689" spans="1:4" x14ac:dyDescent="0.3">
      <c r="A689" s="15" t="s">
        <v>792</v>
      </c>
      <c r="B689" s="13">
        <v>4</v>
      </c>
    </row>
    <row r="690" spans="1:4" x14ac:dyDescent="0.3">
      <c r="A690" s="15" t="s">
        <v>793</v>
      </c>
      <c r="B690" s="13"/>
    </row>
    <row r="695" spans="1:4" x14ac:dyDescent="0.3">
      <c r="A695" s="15"/>
    </row>
    <row r="696" spans="1:4" x14ac:dyDescent="0.3">
      <c r="A696" s="24" t="s">
        <v>641</v>
      </c>
      <c r="B696" s="24"/>
      <c r="C696" s="17"/>
      <c r="D696" s="17"/>
    </row>
    <row r="697" spans="1:4" x14ac:dyDescent="0.3">
      <c r="A697" s="15" t="s">
        <v>76</v>
      </c>
      <c r="B697" s="19">
        <f>B682/$B$11</f>
        <v>0.3</v>
      </c>
      <c r="C697" s="19"/>
      <c r="D697" s="19"/>
    </row>
    <row r="698" spans="1:4" x14ac:dyDescent="0.3">
      <c r="A698" s="15" t="s">
        <v>77</v>
      </c>
      <c r="B698" s="19">
        <f t="shared" ref="B698:B704" si="4">B683/$B$11</f>
        <v>0.33333333333333331</v>
      </c>
      <c r="C698" s="19"/>
      <c r="D698" s="19"/>
    </row>
    <row r="699" spans="1:4" x14ac:dyDescent="0.3">
      <c r="A699" s="15" t="s">
        <v>78</v>
      </c>
      <c r="B699" s="19">
        <f t="shared" si="4"/>
        <v>0.6</v>
      </c>
      <c r="C699" s="19"/>
      <c r="D699" s="19"/>
    </row>
    <row r="700" spans="1:4" x14ac:dyDescent="0.3">
      <c r="A700" s="15" t="s">
        <v>79</v>
      </c>
      <c r="B700" s="19">
        <f t="shared" si="4"/>
        <v>0.5</v>
      </c>
      <c r="C700" s="19"/>
      <c r="D700" s="19"/>
    </row>
    <row r="701" spans="1:4" x14ac:dyDescent="0.3">
      <c r="A701" s="15" t="s">
        <v>80</v>
      </c>
      <c r="B701" s="19">
        <f t="shared" si="4"/>
        <v>0.26666666666666666</v>
      </c>
      <c r="C701" s="19"/>
      <c r="D701" s="19"/>
    </row>
    <row r="702" spans="1:4" x14ac:dyDescent="0.3">
      <c r="A702" s="15" t="s">
        <v>81</v>
      </c>
      <c r="B702" s="19">
        <f t="shared" si="4"/>
        <v>0.36666666666666664</v>
      </c>
      <c r="C702" s="19"/>
      <c r="D702" s="19"/>
    </row>
    <row r="703" spans="1:4" x14ac:dyDescent="0.3">
      <c r="A703" s="15" t="s">
        <v>82</v>
      </c>
      <c r="B703" s="19">
        <f t="shared" si="4"/>
        <v>0.33333333333333331</v>
      </c>
      <c r="C703" s="19"/>
      <c r="D703" s="19"/>
    </row>
    <row r="704" spans="1:4" x14ac:dyDescent="0.3">
      <c r="A704" s="15" t="s">
        <v>83</v>
      </c>
      <c r="B704" s="19">
        <f t="shared" si="4"/>
        <v>0.13333333333333333</v>
      </c>
      <c r="C704" s="19"/>
      <c r="D704" s="19"/>
    </row>
    <row r="709" spans="1:2" x14ac:dyDescent="0.3">
      <c r="A709" s="14" t="s">
        <v>641</v>
      </c>
    </row>
    <row r="710" spans="1:2" x14ac:dyDescent="0.3">
      <c r="A710" s="15" t="s">
        <v>794</v>
      </c>
      <c r="B710" s="13">
        <v>5</v>
      </c>
    </row>
    <row r="711" spans="1:2" x14ac:dyDescent="0.3">
      <c r="A711" s="15" t="s">
        <v>795</v>
      </c>
      <c r="B711" s="13">
        <v>10</v>
      </c>
    </row>
    <row r="712" spans="1:2" x14ac:dyDescent="0.3">
      <c r="A712" s="15" t="s">
        <v>796</v>
      </c>
      <c r="B712" s="13">
        <v>2</v>
      </c>
    </row>
    <row r="713" spans="1:2" x14ac:dyDescent="0.3">
      <c r="A713" s="15" t="s">
        <v>797</v>
      </c>
      <c r="B713" s="13">
        <v>3</v>
      </c>
    </row>
    <row r="714" spans="1:2" x14ac:dyDescent="0.3">
      <c r="A714" s="15" t="s">
        <v>798</v>
      </c>
      <c r="B714" s="13">
        <v>12</v>
      </c>
    </row>
    <row r="722" spans="1:4" x14ac:dyDescent="0.3">
      <c r="A722" s="24" t="s">
        <v>641</v>
      </c>
      <c r="B722" s="24"/>
      <c r="C722" s="17"/>
      <c r="D722" s="17"/>
    </row>
    <row r="723" spans="1:4" x14ac:dyDescent="0.3">
      <c r="A723" s="15" t="s">
        <v>43</v>
      </c>
      <c r="B723" s="19">
        <f>B710/$B$11</f>
        <v>0.16666666666666666</v>
      </c>
      <c r="C723" s="19"/>
      <c r="D723" s="19"/>
    </row>
    <row r="724" spans="1:4" x14ac:dyDescent="0.3">
      <c r="A724" s="15" t="s">
        <v>44</v>
      </c>
      <c r="B724" s="19">
        <f t="shared" ref="B724:B727" si="5">B711/$B$11</f>
        <v>0.33333333333333331</v>
      </c>
      <c r="C724" s="19"/>
      <c r="D724" s="19"/>
    </row>
    <row r="725" spans="1:4" x14ac:dyDescent="0.3">
      <c r="A725" s="15" t="s">
        <v>89</v>
      </c>
      <c r="B725" s="19">
        <f t="shared" si="5"/>
        <v>6.6666666666666666E-2</v>
      </c>
      <c r="C725" s="19"/>
      <c r="D725" s="19"/>
    </row>
    <row r="726" spans="1:4" x14ac:dyDescent="0.3">
      <c r="A726" s="15" t="s">
        <v>90</v>
      </c>
      <c r="B726" s="19">
        <f t="shared" si="5"/>
        <v>0.1</v>
      </c>
      <c r="C726" s="19"/>
      <c r="D726" s="19"/>
    </row>
    <row r="727" spans="1:4" x14ac:dyDescent="0.3">
      <c r="A727" s="15" t="s">
        <v>92</v>
      </c>
      <c r="B727" s="19">
        <f t="shared" si="5"/>
        <v>0.4</v>
      </c>
      <c r="C727" s="19"/>
      <c r="D727" s="19"/>
    </row>
    <row r="732" spans="1:4" x14ac:dyDescent="0.3">
      <c r="A732" s="14" t="s">
        <v>641</v>
      </c>
    </row>
    <row r="733" spans="1:4" x14ac:dyDescent="0.3">
      <c r="A733" s="15" t="s">
        <v>716</v>
      </c>
      <c r="B733" s="13">
        <v>25</v>
      </c>
    </row>
    <row r="734" spans="1:4" x14ac:dyDescent="0.3">
      <c r="A734" s="15" t="s">
        <v>717</v>
      </c>
      <c r="B734" s="13">
        <v>5</v>
      </c>
    </row>
    <row r="735" spans="1:4" x14ac:dyDescent="0.3">
      <c r="A735" s="15" t="s">
        <v>719</v>
      </c>
      <c r="B735" s="13">
        <v>5</v>
      </c>
    </row>
    <row r="736" spans="1:4" x14ac:dyDescent="0.3">
      <c r="A736" s="15" t="s">
        <v>720</v>
      </c>
      <c r="B736" s="13">
        <v>3</v>
      </c>
    </row>
    <row r="737" spans="1:4" x14ac:dyDescent="0.3">
      <c r="A737" s="15" t="s">
        <v>721</v>
      </c>
      <c r="B737" s="13">
        <v>7</v>
      </c>
    </row>
    <row r="743" spans="1:4" x14ac:dyDescent="0.3">
      <c r="A743" s="24" t="s">
        <v>641</v>
      </c>
      <c r="B743" s="24"/>
      <c r="C743" s="17"/>
      <c r="D743" s="17"/>
    </row>
    <row r="744" spans="1:4" x14ac:dyDescent="0.3">
      <c r="A744" s="15" t="s">
        <v>156</v>
      </c>
      <c r="B744" s="19">
        <f>B733/$B$11</f>
        <v>0.83333333333333337</v>
      </c>
      <c r="C744" s="19"/>
      <c r="D744" s="19"/>
    </row>
    <row r="745" spans="1:4" x14ac:dyDescent="0.3">
      <c r="A745" s="15" t="s">
        <v>157</v>
      </c>
      <c r="B745" s="19">
        <f t="shared" ref="B745:B748" si="6">B734/$B$11</f>
        <v>0.16666666666666666</v>
      </c>
      <c r="C745" s="19"/>
      <c r="D745" s="19"/>
    </row>
    <row r="746" spans="1:4" x14ac:dyDescent="0.3">
      <c r="A746" s="15" t="s">
        <v>158</v>
      </c>
      <c r="B746" s="19">
        <f t="shared" si="6"/>
        <v>0.16666666666666666</v>
      </c>
      <c r="C746" s="19"/>
      <c r="D746" s="19"/>
    </row>
    <row r="747" spans="1:4" x14ac:dyDescent="0.3">
      <c r="A747" s="15" t="s">
        <v>162</v>
      </c>
      <c r="B747" s="19">
        <f t="shared" si="6"/>
        <v>0.1</v>
      </c>
      <c r="C747" s="19"/>
      <c r="D747" s="19"/>
    </row>
    <row r="748" spans="1:4" x14ac:dyDescent="0.3">
      <c r="A748" s="15" t="s">
        <v>163</v>
      </c>
      <c r="B748" s="19">
        <f t="shared" si="6"/>
        <v>0.23333333333333334</v>
      </c>
      <c r="C748" s="19"/>
      <c r="D748" s="19"/>
    </row>
    <row r="753" spans="1:4" x14ac:dyDescent="0.3">
      <c r="A753" s="14" t="s">
        <v>641</v>
      </c>
    </row>
    <row r="754" spans="1:4" x14ac:dyDescent="0.3">
      <c r="A754" s="15" t="s">
        <v>799</v>
      </c>
      <c r="B754" s="13">
        <v>11</v>
      </c>
    </row>
    <row r="755" spans="1:4" x14ac:dyDescent="0.3">
      <c r="A755" s="15" t="s">
        <v>800</v>
      </c>
      <c r="B755" s="13">
        <v>8</v>
      </c>
    </row>
    <row r="756" spans="1:4" x14ac:dyDescent="0.3">
      <c r="A756" s="15" t="s">
        <v>801</v>
      </c>
      <c r="B756" s="13">
        <v>12</v>
      </c>
    </row>
    <row r="757" spans="1:4" x14ac:dyDescent="0.3">
      <c r="A757" s="15" t="s">
        <v>802</v>
      </c>
      <c r="B757" s="13">
        <v>7</v>
      </c>
    </row>
    <row r="763" spans="1:4" x14ac:dyDescent="0.3">
      <c r="A763" s="24" t="s">
        <v>641</v>
      </c>
      <c r="B763" s="24"/>
      <c r="C763" s="17"/>
      <c r="D763" s="17"/>
    </row>
    <row r="764" spans="1:4" x14ac:dyDescent="0.3">
      <c r="A764" s="15" t="s">
        <v>166</v>
      </c>
      <c r="B764" s="19">
        <f>B754/$B$11</f>
        <v>0.36666666666666664</v>
      </c>
      <c r="C764" s="19"/>
      <c r="D764" s="19"/>
    </row>
    <row r="765" spans="1:4" x14ac:dyDescent="0.3">
      <c r="A765" s="15" t="s">
        <v>169</v>
      </c>
      <c r="B765" s="19">
        <f t="shared" ref="B765:B767" si="7">B755/$B$11</f>
        <v>0.26666666666666666</v>
      </c>
      <c r="C765" s="19"/>
      <c r="D765" s="19"/>
    </row>
    <row r="766" spans="1:4" x14ac:dyDescent="0.3">
      <c r="A766" s="15" t="s">
        <v>170</v>
      </c>
      <c r="B766" s="19">
        <f t="shared" si="7"/>
        <v>0.4</v>
      </c>
      <c r="C766" s="19"/>
      <c r="D766" s="19"/>
    </row>
    <row r="767" spans="1:4" x14ac:dyDescent="0.3">
      <c r="A767" s="15" t="s">
        <v>171</v>
      </c>
      <c r="B767" s="19">
        <f t="shared" si="7"/>
        <v>0.23333333333333334</v>
      </c>
      <c r="C767" s="19"/>
      <c r="D767" s="19"/>
    </row>
    <row r="772" spans="1:2" x14ac:dyDescent="0.3">
      <c r="A772" s="14" t="s">
        <v>641</v>
      </c>
    </row>
    <row r="773" spans="1:2" x14ac:dyDescent="0.3">
      <c r="A773" s="15" t="s">
        <v>902</v>
      </c>
      <c r="B773" s="13">
        <v>23</v>
      </c>
    </row>
    <row r="774" spans="1:2" x14ac:dyDescent="0.3">
      <c r="A774" s="15" t="s">
        <v>903</v>
      </c>
      <c r="B774" s="13">
        <v>25</v>
      </c>
    </row>
    <row r="775" spans="1:2" x14ac:dyDescent="0.3">
      <c r="A775" s="15" t="s">
        <v>904</v>
      </c>
      <c r="B775" s="13">
        <v>11</v>
      </c>
    </row>
    <row r="776" spans="1:2" x14ac:dyDescent="0.3">
      <c r="A776" s="15" t="s">
        <v>905</v>
      </c>
      <c r="B776" s="13">
        <v>11</v>
      </c>
    </row>
    <row r="777" spans="1:2" x14ac:dyDescent="0.3">
      <c r="A777" s="15" t="s">
        <v>906</v>
      </c>
      <c r="B777" s="13">
        <v>4</v>
      </c>
    </row>
    <row r="778" spans="1:2" x14ac:dyDescent="0.3">
      <c r="A778" s="15" t="s">
        <v>907</v>
      </c>
      <c r="B778" s="13">
        <v>5</v>
      </c>
    </row>
    <row r="779" spans="1:2" x14ac:dyDescent="0.3">
      <c r="A779" s="15" t="s">
        <v>908</v>
      </c>
      <c r="B779" s="13">
        <v>3</v>
      </c>
    </row>
    <row r="785" spans="1:4" x14ac:dyDescent="0.3">
      <c r="A785" s="24" t="s">
        <v>641</v>
      </c>
      <c r="B785" s="24"/>
      <c r="C785" s="17"/>
      <c r="D785" s="17"/>
    </row>
    <row r="786" spans="1:4" x14ac:dyDescent="0.3">
      <c r="A786" s="15" t="s">
        <v>176</v>
      </c>
      <c r="B786" s="19">
        <f>B773/$B$11</f>
        <v>0.76666666666666672</v>
      </c>
      <c r="C786" s="19"/>
      <c r="D786" s="19"/>
    </row>
    <row r="787" spans="1:4" x14ac:dyDescent="0.3">
      <c r="A787" s="15" t="s">
        <v>177</v>
      </c>
      <c r="B787" s="19">
        <f t="shared" ref="B787:B792" si="8">B774/$B$11</f>
        <v>0.83333333333333337</v>
      </c>
      <c r="C787" s="19"/>
      <c r="D787" s="19"/>
    </row>
    <row r="788" spans="1:4" x14ac:dyDescent="0.3">
      <c r="A788" s="15" t="s">
        <v>178</v>
      </c>
      <c r="B788" s="19">
        <f t="shared" si="8"/>
        <v>0.36666666666666664</v>
      </c>
      <c r="C788" s="19"/>
      <c r="D788" s="19"/>
    </row>
    <row r="789" spans="1:4" x14ac:dyDescent="0.3">
      <c r="A789" s="15" t="s">
        <v>179</v>
      </c>
      <c r="B789" s="19">
        <f t="shared" si="8"/>
        <v>0.36666666666666664</v>
      </c>
      <c r="C789" s="19"/>
      <c r="D789" s="19"/>
    </row>
    <row r="790" spans="1:4" x14ac:dyDescent="0.3">
      <c r="A790" s="15" t="s">
        <v>180</v>
      </c>
      <c r="B790" s="19">
        <f t="shared" si="8"/>
        <v>0.13333333333333333</v>
      </c>
      <c r="C790" s="19"/>
      <c r="D790" s="19"/>
    </row>
    <row r="791" spans="1:4" x14ac:dyDescent="0.3">
      <c r="A791" s="15" t="s">
        <v>181</v>
      </c>
      <c r="B791" s="19">
        <f t="shared" si="8"/>
        <v>0.16666666666666666</v>
      </c>
      <c r="C791" s="19"/>
      <c r="D791" s="19"/>
    </row>
    <row r="792" spans="1:4" x14ac:dyDescent="0.3">
      <c r="A792" s="15" t="s">
        <v>182</v>
      </c>
      <c r="B792" s="19">
        <f t="shared" si="8"/>
        <v>0.1</v>
      </c>
      <c r="C792" s="19"/>
      <c r="D792" s="19"/>
    </row>
    <row r="797" spans="1:4" x14ac:dyDescent="0.3">
      <c r="A797" s="14" t="s">
        <v>641</v>
      </c>
    </row>
    <row r="798" spans="1:4" x14ac:dyDescent="0.3">
      <c r="A798" s="15" t="s">
        <v>917</v>
      </c>
      <c r="B798" s="13">
        <v>30</v>
      </c>
    </row>
    <row r="799" spans="1:4" x14ac:dyDescent="0.3">
      <c r="A799" s="15" t="s">
        <v>918</v>
      </c>
      <c r="B799" s="13">
        <v>5</v>
      </c>
    </row>
    <row r="800" spans="1:4" x14ac:dyDescent="0.3">
      <c r="A800" s="15" t="s">
        <v>919</v>
      </c>
      <c r="B800" s="13">
        <v>13</v>
      </c>
    </row>
    <row r="801" spans="1:4" x14ac:dyDescent="0.3">
      <c r="A801" s="15" t="s">
        <v>920</v>
      </c>
      <c r="B801" s="13">
        <v>3</v>
      </c>
    </row>
    <row r="802" spans="1:4" x14ac:dyDescent="0.3">
      <c r="A802" s="15" t="s">
        <v>921</v>
      </c>
      <c r="B802" s="13"/>
    </row>
    <row r="803" spans="1:4" x14ac:dyDescent="0.3">
      <c r="A803" s="15" t="s">
        <v>922</v>
      </c>
      <c r="B803" s="13">
        <v>15</v>
      </c>
    </row>
    <row r="809" spans="1:4" x14ac:dyDescent="0.3">
      <c r="A809" s="24" t="s">
        <v>641</v>
      </c>
      <c r="B809" s="24"/>
      <c r="C809" s="17"/>
      <c r="D809" s="17"/>
    </row>
    <row r="810" spans="1:4" x14ac:dyDescent="0.3">
      <c r="A810" s="15" t="s">
        <v>187</v>
      </c>
      <c r="B810" s="19">
        <f>B798/$B$11</f>
        <v>1</v>
      </c>
      <c r="C810" s="19"/>
      <c r="D810" s="19"/>
    </row>
    <row r="811" spans="1:4" x14ac:dyDescent="0.3">
      <c r="A811" s="15" t="s">
        <v>188</v>
      </c>
      <c r="B811" s="19">
        <f t="shared" ref="B811:B815" si="9">B799/$B$11</f>
        <v>0.16666666666666666</v>
      </c>
      <c r="C811" s="19"/>
      <c r="D811" s="19"/>
    </row>
    <row r="812" spans="1:4" x14ac:dyDescent="0.3">
      <c r="A812" s="15" t="s">
        <v>189</v>
      </c>
      <c r="B812" s="19">
        <f t="shared" si="9"/>
        <v>0.43333333333333335</v>
      </c>
      <c r="C812" s="19"/>
      <c r="D812" s="19"/>
    </row>
    <row r="813" spans="1:4" x14ac:dyDescent="0.3">
      <c r="A813" s="15" t="s">
        <v>190</v>
      </c>
      <c r="B813" s="19">
        <f t="shared" si="9"/>
        <v>0.1</v>
      </c>
      <c r="C813" s="19"/>
      <c r="D813" s="19"/>
    </row>
    <row r="814" spans="1:4" x14ac:dyDescent="0.3">
      <c r="A814" s="15" t="s">
        <v>191</v>
      </c>
      <c r="B814" s="19">
        <f t="shared" si="9"/>
        <v>0</v>
      </c>
      <c r="C814" s="19"/>
      <c r="D814" s="19"/>
    </row>
    <row r="815" spans="1:4" x14ac:dyDescent="0.3">
      <c r="A815" s="15" t="s">
        <v>192</v>
      </c>
      <c r="B815" s="19">
        <f t="shared" si="9"/>
        <v>0.5</v>
      </c>
      <c r="C815" s="19"/>
      <c r="D815" s="19"/>
    </row>
    <row r="820" spans="1:2" x14ac:dyDescent="0.3">
      <c r="A820" s="14" t="s">
        <v>641</v>
      </c>
    </row>
    <row r="821" spans="1:2" x14ac:dyDescent="0.3">
      <c r="A821" s="15" t="s">
        <v>923</v>
      </c>
      <c r="B821" s="13">
        <v>9</v>
      </c>
    </row>
    <row r="822" spans="1:2" x14ac:dyDescent="0.3">
      <c r="A822" s="15" t="s">
        <v>924</v>
      </c>
      <c r="B822" s="13">
        <v>12</v>
      </c>
    </row>
    <row r="823" spans="1:2" x14ac:dyDescent="0.3">
      <c r="A823" s="15" t="s">
        <v>925</v>
      </c>
      <c r="B823" s="13">
        <v>1</v>
      </c>
    </row>
    <row r="824" spans="1:2" x14ac:dyDescent="0.3">
      <c r="A824" s="15" t="s">
        <v>926</v>
      </c>
      <c r="B824" s="13">
        <v>21</v>
      </c>
    </row>
    <row r="825" spans="1:2" x14ac:dyDescent="0.3">
      <c r="A825" s="15" t="s">
        <v>927</v>
      </c>
      <c r="B825" s="13">
        <v>19</v>
      </c>
    </row>
    <row r="826" spans="1:2" x14ac:dyDescent="0.3">
      <c r="A826" s="15" t="s">
        <v>928</v>
      </c>
      <c r="B826" s="13">
        <v>8</v>
      </c>
    </row>
    <row r="827" spans="1:2" x14ac:dyDescent="0.3">
      <c r="A827" s="15" t="s">
        <v>929</v>
      </c>
      <c r="B827" s="13">
        <v>9</v>
      </c>
    </row>
    <row r="828" spans="1:2" x14ac:dyDescent="0.3">
      <c r="A828" s="15" t="s">
        <v>930</v>
      </c>
      <c r="B828" s="13">
        <v>2</v>
      </c>
    </row>
    <row r="829" spans="1:2" x14ac:dyDescent="0.3">
      <c r="A829" s="15" t="s">
        <v>931</v>
      </c>
      <c r="B829" s="13"/>
    </row>
    <row r="830" spans="1:2" x14ac:dyDescent="0.3">
      <c r="A830" s="15" t="s">
        <v>932</v>
      </c>
      <c r="B830" s="13">
        <v>8</v>
      </c>
    </row>
    <row r="836" spans="1:4" x14ac:dyDescent="0.3">
      <c r="A836" s="24" t="s">
        <v>641</v>
      </c>
      <c r="B836" s="24" t="s">
        <v>367</v>
      </c>
      <c r="C836" s="17"/>
      <c r="D836" s="17"/>
    </row>
    <row r="837" spans="1:4" x14ac:dyDescent="0.3">
      <c r="A837" s="15" t="s">
        <v>195</v>
      </c>
      <c r="B837" s="19">
        <f>B821/$B$11</f>
        <v>0.3</v>
      </c>
      <c r="C837" s="19"/>
      <c r="D837" s="19"/>
    </row>
    <row r="838" spans="1:4" x14ac:dyDescent="0.3">
      <c r="A838" s="15" t="s">
        <v>196</v>
      </c>
      <c r="B838" s="19">
        <f t="shared" ref="B838:B846" si="10">B822/$B$11</f>
        <v>0.4</v>
      </c>
      <c r="C838" s="19"/>
      <c r="D838" s="19"/>
    </row>
    <row r="839" spans="1:4" x14ac:dyDescent="0.3">
      <c r="A839" s="15" t="s">
        <v>197</v>
      </c>
      <c r="B839" s="19">
        <f t="shared" si="10"/>
        <v>3.3333333333333333E-2</v>
      </c>
      <c r="C839" s="19"/>
      <c r="D839" s="19"/>
    </row>
    <row r="840" spans="1:4" x14ac:dyDescent="0.3">
      <c r="A840" s="15" t="s">
        <v>79</v>
      </c>
      <c r="B840" s="19">
        <f t="shared" si="10"/>
        <v>0.7</v>
      </c>
      <c r="C840" s="19"/>
      <c r="D840" s="19"/>
    </row>
    <row r="841" spans="1:4" x14ac:dyDescent="0.3">
      <c r="A841" s="15" t="s">
        <v>77</v>
      </c>
      <c r="B841" s="19">
        <f t="shared" si="10"/>
        <v>0.6333333333333333</v>
      </c>
      <c r="C841" s="19"/>
      <c r="D841" s="19"/>
    </row>
    <row r="842" spans="1:4" x14ac:dyDescent="0.3">
      <c r="A842" s="15" t="s">
        <v>80</v>
      </c>
      <c r="B842" s="19">
        <f t="shared" si="10"/>
        <v>0.26666666666666666</v>
      </c>
      <c r="C842" s="19"/>
      <c r="D842" s="19"/>
    </row>
    <row r="843" spans="1:4" x14ac:dyDescent="0.3">
      <c r="A843" s="15" t="s">
        <v>198</v>
      </c>
      <c r="B843" s="19">
        <f t="shared" si="10"/>
        <v>0.3</v>
      </c>
      <c r="C843" s="19"/>
      <c r="D843" s="19"/>
    </row>
    <row r="844" spans="1:4" x14ac:dyDescent="0.3">
      <c r="A844" s="15" t="s">
        <v>199</v>
      </c>
      <c r="B844" s="19">
        <f t="shared" si="10"/>
        <v>6.6666666666666666E-2</v>
      </c>
      <c r="C844" s="19"/>
      <c r="D844" s="19"/>
    </row>
    <row r="845" spans="1:4" x14ac:dyDescent="0.3">
      <c r="A845" s="15" t="s">
        <v>200</v>
      </c>
      <c r="B845" s="19">
        <f t="shared" si="10"/>
        <v>0</v>
      </c>
      <c r="C845" s="19"/>
      <c r="D845" s="19"/>
    </row>
    <row r="846" spans="1:4" x14ac:dyDescent="0.3">
      <c r="A846" s="15" t="s">
        <v>201</v>
      </c>
      <c r="B846" s="19">
        <f t="shared" si="10"/>
        <v>0.26666666666666666</v>
      </c>
      <c r="C846" s="19"/>
      <c r="D846" s="19"/>
    </row>
    <row r="851" spans="1:2" x14ac:dyDescent="0.3">
      <c r="A851" s="14" t="s">
        <v>641</v>
      </c>
    </row>
    <row r="852" spans="1:2" x14ac:dyDescent="0.3">
      <c r="A852" s="15" t="s">
        <v>935</v>
      </c>
      <c r="B852" s="13">
        <v>5</v>
      </c>
    </row>
    <row r="853" spans="1:2" x14ac:dyDescent="0.3">
      <c r="A853" s="15" t="s">
        <v>936</v>
      </c>
      <c r="B853" s="13">
        <v>6</v>
      </c>
    </row>
    <row r="854" spans="1:2" x14ac:dyDescent="0.3">
      <c r="A854" s="15" t="s">
        <v>937</v>
      </c>
      <c r="B854" s="13">
        <v>16</v>
      </c>
    </row>
    <row r="855" spans="1:2" x14ac:dyDescent="0.3">
      <c r="A855" s="15" t="s">
        <v>938</v>
      </c>
      <c r="B855" s="13"/>
    </row>
    <row r="856" spans="1:2" x14ac:dyDescent="0.3">
      <c r="A856" s="15" t="s">
        <v>939</v>
      </c>
      <c r="B856" s="13">
        <v>2</v>
      </c>
    </row>
    <row r="857" spans="1:2" x14ac:dyDescent="0.3">
      <c r="A857" s="15" t="s">
        <v>940</v>
      </c>
      <c r="B857" s="13"/>
    </row>
    <row r="858" spans="1:2" x14ac:dyDescent="0.3">
      <c r="A858" s="15" t="s">
        <v>941</v>
      </c>
      <c r="B858" s="13">
        <v>5</v>
      </c>
    </row>
    <row r="859" spans="1:2" x14ac:dyDescent="0.3">
      <c r="A859" s="15" t="s">
        <v>942</v>
      </c>
      <c r="B859" s="13">
        <v>3</v>
      </c>
    </row>
    <row r="860" spans="1:2" x14ac:dyDescent="0.3">
      <c r="A860" s="15" t="s">
        <v>943</v>
      </c>
      <c r="B860" s="13">
        <v>4</v>
      </c>
    </row>
    <row r="861" spans="1:2" x14ac:dyDescent="0.3">
      <c r="A861" s="15" t="s">
        <v>944</v>
      </c>
      <c r="B861" s="13">
        <v>1</v>
      </c>
    </row>
    <row r="867" spans="1:4" x14ac:dyDescent="0.3">
      <c r="A867" s="24" t="s">
        <v>641</v>
      </c>
      <c r="B867" s="24"/>
      <c r="C867" s="17"/>
      <c r="D867" s="17"/>
    </row>
    <row r="868" spans="1:4" x14ac:dyDescent="0.3">
      <c r="A868" s="15" t="s">
        <v>195</v>
      </c>
      <c r="B868" s="19">
        <f>B852/$B$11</f>
        <v>0.16666666666666666</v>
      </c>
      <c r="C868" s="19"/>
      <c r="D868" s="19"/>
    </row>
    <row r="869" spans="1:4" x14ac:dyDescent="0.3">
      <c r="A869" s="15" t="s">
        <v>196</v>
      </c>
      <c r="B869" s="19">
        <f t="shared" ref="B869:B877" si="11">B853/$B$11</f>
        <v>0.2</v>
      </c>
      <c r="C869" s="19"/>
      <c r="D869" s="19"/>
    </row>
    <row r="870" spans="1:4" x14ac:dyDescent="0.3">
      <c r="A870" s="15" t="s">
        <v>197</v>
      </c>
      <c r="B870" s="19">
        <f t="shared" si="11"/>
        <v>0.53333333333333333</v>
      </c>
      <c r="C870" s="19"/>
      <c r="D870" s="19"/>
    </row>
    <row r="871" spans="1:4" x14ac:dyDescent="0.3">
      <c r="A871" s="15" t="s">
        <v>79</v>
      </c>
      <c r="B871" s="19">
        <f t="shared" si="11"/>
        <v>0</v>
      </c>
      <c r="C871" s="19"/>
      <c r="D871" s="19"/>
    </row>
    <row r="872" spans="1:4" x14ac:dyDescent="0.3">
      <c r="A872" s="15" t="s">
        <v>77</v>
      </c>
      <c r="B872" s="19">
        <f t="shared" si="11"/>
        <v>6.6666666666666666E-2</v>
      </c>
      <c r="C872" s="19"/>
      <c r="D872" s="19"/>
    </row>
    <row r="873" spans="1:4" x14ac:dyDescent="0.3">
      <c r="A873" s="15" t="s">
        <v>80</v>
      </c>
      <c r="B873" s="19">
        <f t="shared" si="11"/>
        <v>0</v>
      </c>
      <c r="C873" s="19"/>
      <c r="D873" s="19"/>
    </row>
    <row r="874" spans="1:4" x14ac:dyDescent="0.3">
      <c r="A874" s="15" t="s">
        <v>198</v>
      </c>
      <c r="B874" s="19">
        <f t="shared" si="11"/>
        <v>0.16666666666666666</v>
      </c>
      <c r="C874" s="19"/>
      <c r="D874" s="19"/>
    </row>
    <row r="875" spans="1:4" x14ac:dyDescent="0.3">
      <c r="A875" s="15" t="s">
        <v>199</v>
      </c>
      <c r="B875" s="19">
        <f t="shared" si="11"/>
        <v>0.1</v>
      </c>
      <c r="C875" s="19"/>
      <c r="D875" s="19"/>
    </row>
    <row r="876" spans="1:4" x14ac:dyDescent="0.3">
      <c r="A876" s="15" t="s">
        <v>200</v>
      </c>
      <c r="B876" s="19">
        <f t="shared" si="11"/>
        <v>0.13333333333333333</v>
      </c>
      <c r="C876" s="19"/>
      <c r="D876" s="19"/>
    </row>
    <row r="877" spans="1:4" x14ac:dyDescent="0.3">
      <c r="A877" s="15" t="s">
        <v>201</v>
      </c>
      <c r="B877" s="19">
        <f t="shared" si="11"/>
        <v>3.3333333333333333E-2</v>
      </c>
      <c r="C877" s="19"/>
      <c r="D877" s="19"/>
    </row>
    <row r="882" spans="1:3" x14ac:dyDescent="0.3">
      <c r="A882" s="21" t="s">
        <v>1032</v>
      </c>
      <c r="B882" s="21" t="s">
        <v>945</v>
      </c>
      <c r="C882" s="21" t="s">
        <v>946</v>
      </c>
    </row>
    <row r="883" spans="1:3" x14ac:dyDescent="0.3">
      <c r="A883" s="15" t="s">
        <v>195</v>
      </c>
      <c r="B883" s="19">
        <f>B837/SUM($B$837:$B$846)</f>
        <v>0.10112359550561799</v>
      </c>
      <c r="C883" s="19">
        <f>B868/SUM($B$868:$B$877)</f>
        <v>0.11904761904761903</v>
      </c>
    </row>
    <row r="884" spans="1:3" x14ac:dyDescent="0.3">
      <c r="A884" s="15" t="s">
        <v>196</v>
      </c>
      <c r="B884" s="19">
        <f t="shared" ref="B884:B892" si="12">B838/SUM($B$837:$B$846)</f>
        <v>0.13483146067415733</v>
      </c>
      <c r="C884" s="19">
        <f t="shared" ref="C884:C891" si="13">B869/SUM($B$868:$B$877)</f>
        <v>0.14285714285714285</v>
      </c>
    </row>
    <row r="885" spans="1:3" x14ac:dyDescent="0.3">
      <c r="A885" s="15" t="s">
        <v>197</v>
      </c>
      <c r="B885" s="19">
        <f t="shared" si="12"/>
        <v>1.1235955056179777E-2</v>
      </c>
      <c r="C885" s="19">
        <f t="shared" si="13"/>
        <v>0.38095238095238093</v>
      </c>
    </row>
    <row r="886" spans="1:3" x14ac:dyDescent="0.3">
      <c r="A886" s="15" t="s">
        <v>79</v>
      </c>
      <c r="B886" s="19">
        <f t="shared" si="12"/>
        <v>0.2359550561797753</v>
      </c>
      <c r="C886" s="19">
        <f t="shared" si="13"/>
        <v>0</v>
      </c>
    </row>
    <row r="887" spans="1:3" x14ac:dyDescent="0.3">
      <c r="A887" s="15" t="s">
        <v>77</v>
      </c>
      <c r="B887" s="19">
        <f t="shared" si="12"/>
        <v>0.21348314606741575</v>
      </c>
      <c r="C887" s="19">
        <f t="shared" si="13"/>
        <v>4.7619047619047616E-2</v>
      </c>
    </row>
    <row r="888" spans="1:3" x14ac:dyDescent="0.3">
      <c r="A888" s="15" t="s">
        <v>80</v>
      </c>
      <c r="B888" s="19">
        <f t="shared" si="12"/>
        <v>8.9887640449438214E-2</v>
      </c>
      <c r="C888" s="19">
        <f t="shared" si="13"/>
        <v>0</v>
      </c>
    </row>
    <row r="889" spans="1:3" x14ac:dyDescent="0.3">
      <c r="A889" s="15" t="s">
        <v>198</v>
      </c>
      <c r="B889" s="19">
        <f t="shared" si="12"/>
        <v>0.10112359550561799</v>
      </c>
      <c r="C889" s="19">
        <f t="shared" si="13"/>
        <v>0.11904761904761903</v>
      </c>
    </row>
    <row r="890" spans="1:3" x14ac:dyDescent="0.3">
      <c r="A890" s="15" t="s">
        <v>199</v>
      </c>
      <c r="B890" s="19">
        <f t="shared" si="12"/>
        <v>2.2471910112359553E-2</v>
      </c>
      <c r="C890" s="19">
        <f t="shared" si="13"/>
        <v>7.1428571428571425E-2</v>
      </c>
    </row>
    <row r="891" spans="1:3" x14ac:dyDescent="0.3">
      <c r="A891" s="15" t="s">
        <v>200</v>
      </c>
      <c r="B891" s="19">
        <f t="shared" si="12"/>
        <v>0</v>
      </c>
      <c r="C891" s="19">
        <f t="shared" si="13"/>
        <v>9.5238095238095233E-2</v>
      </c>
    </row>
    <row r="892" spans="1:3" x14ac:dyDescent="0.3">
      <c r="A892" s="15" t="s">
        <v>201</v>
      </c>
      <c r="B892" s="19">
        <f t="shared" si="12"/>
        <v>8.9887640449438214E-2</v>
      </c>
      <c r="C892" s="19">
        <f>B877/SUM($B$868:$B$877)</f>
        <v>2.3809523809523808E-2</v>
      </c>
    </row>
    <row r="901" spans="1:2" x14ac:dyDescent="0.3">
      <c r="A901" s="14" t="s">
        <v>641</v>
      </c>
    </row>
    <row r="902" spans="1:2" x14ac:dyDescent="0.3">
      <c r="A902" s="15" t="s">
        <v>954</v>
      </c>
      <c r="B902" s="13">
        <v>22</v>
      </c>
    </row>
    <row r="903" spans="1:2" x14ac:dyDescent="0.3">
      <c r="A903" s="15" t="s">
        <v>955</v>
      </c>
      <c r="B903" s="13">
        <v>7</v>
      </c>
    </row>
    <row r="904" spans="1:2" x14ac:dyDescent="0.3">
      <c r="A904" s="15" t="s">
        <v>956</v>
      </c>
      <c r="B904" s="13">
        <v>15</v>
      </c>
    </row>
    <row r="905" spans="1:2" x14ac:dyDescent="0.3">
      <c r="A905" s="15" t="s">
        <v>957</v>
      </c>
      <c r="B905" s="13">
        <v>2</v>
      </c>
    </row>
    <row r="906" spans="1:2" x14ac:dyDescent="0.3">
      <c r="A906" s="15" t="s">
        <v>958</v>
      </c>
      <c r="B906" s="13">
        <v>24</v>
      </c>
    </row>
    <row r="907" spans="1:2" x14ac:dyDescent="0.3">
      <c r="A907" s="15" t="s">
        <v>959</v>
      </c>
      <c r="B907" s="13"/>
    </row>
    <row r="908" spans="1:2" x14ac:dyDescent="0.3">
      <c r="A908" s="15" t="s">
        <v>960</v>
      </c>
      <c r="B908" s="13">
        <v>8</v>
      </c>
    </row>
    <row r="909" spans="1:2" x14ac:dyDescent="0.3">
      <c r="A909" s="15" t="s">
        <v>961</v>
      </c>
      <c r="B909" s="13">
        <v>28</v>
      </c>
    </row>
    <row r="910" spans="1:2" x14ac:dyDescent="0.3">
      <c r="A910" s="15" t="s">
        <v>962</v>
      </c>
      <c r="B910" s="13">
        <v>4</v>
      </c>
    </row>
    <row r="911" spans="1:2" x14ac:dyDescent="0.3">
      <c r="A911" s="15" t="s">
        <v>963</v>
      </c>
      <c r="B911" s="13">
        <v>1</v>
      </c>
    </row>
    <row r="917" spans="1:4" x14ac:dyDescent="0.3">
      <c r="A917" s="24" t="s">
        <v>641</v>
      </c>
      <c r="B917" s="24"/>
      <c r="C917" s="17"/>
      <c r="D917" s="17"/>
    </row>
    <row r="918" spans="1:4" x14ac:dyDescent="0.3">
      <c r="A918" s="15" t="s">
        <v>209</v>
      </c>
      <c r="B918" s="19">
        <f>B902/$B$11</f>
        <v>0.73333333333333328</v>
      </c>
      <c r="C918" s="19"/>
      <c r="D918" s="19"/>
    </row>
    <row r="919" spans="1:4" x14ac:dyDescent="0.3">
      <c r="A919" s="15" t="s">
        <v>210</v>
      </c>
      <c r="B919" s="19">
        <f t="shared" ref="B919:B927" si="14">B903/$B$11</f>
        <v>0.23333333333333334</v>
      </c>
      <c r="C919" s="19"/>
      <c r="D919" s="19"/>
    </row>
    <row r="920" spans="1:4" x14ac:dyDescent="0.3">
      <c r="A920" s="15" t="s">
        <v>211</v>
      </c>
      <c r="B920" s="19">
        <f t="shared" si="14"/>
        <v>0.5</v>
      </c>
      <c r="C920" s="19"/>
      <c r="D920" s="19"/>
    </row>
    <row r="921" spans="1:4" x14ac:dyDescent="0.3">
      <c r="A921" s="15" t="s">
        <v>212</v>
      </c>
      <c r="B921" s="19">
        <f t="shared" si="14"/>
        <v>6.6666666666666666E-2</v>
      </c>
      <c r="C921" s="19"/>
      <c r="D921" s="19"/>
    </row>
    <row r="922" spans="1:4" x14ac:dyDescent="0.3">
      <c r="A922" s="15" t="s">
        <v>213</v>
      </c>
      <c r="B922" s="19">
        <f t="shared" si="14"/>
        <v>0.8</v>
      </c>
      <c r="C922" s="19"/>
      <c r="D922" s="19"/>
    </row>
    <row r="923" spans="1:4" x14ac:dyDescent="0.3">
      <c r="A923" s="15" t="s">
        <v>214</v>
      </c>
      <c r="B923" s="19">
        <f t="shared" si="14"/>
        <v>0</v>
      </c>
      <c r="C923" s="19"/>
      <c r="D923" s="19"/>
    </row>
    <row r="924" spans="1:4" x14ac:dyDescent="0.3">
      <c r="A924" s="15" t="s">
        <v>215</v>
      </c>
      <c r="B924" s="19">
        <f t="shared" si="14"/>
        <v>0.26666666666666666</v>
      </c>
      <c r="C924" s="19"/>
      <c r="D924" s="19"/>
    </row>
    <row r="925" spans="1:4" x14ac:dyDescent="0.3">
      <c r="A925" s="15" t="s">
        <v>216</v>
      </c>
      <c r="B925" s="19">
        <f t="shared" si="14"/>
        <v>0.93333333333333335</v>
      </c>
      <c r="C925" s="19"/>
      <c r="D925" s="19"/>
    </row>
    <row r="926" spans="1:4" x14ac:dyDescent="0.3">
      <c r="A926" s="15" t="s">
        <v>217</v>
      </c>
      <c r="B926" s="19">
        <f t="shared" si="14"/>
        <v>0.13333333333333333</v>
      </c>
      <c r="C926" s="19"/>
      <c r="D926" s="19"/>
    </row>
    <row r="927" spans="1:4" x14ac:dyDescent="0.3">
      <c r="A927" s="15" t="s">
        <v>218</v>
      </c>
      <c r="B927" s="19">
        <f t="shared" si="14"/>
        <v>3.3333333333333333E-2</v>
      </c>
      <c r="C927" s="19"/>
      <c r="D927" s="19"/>
    </row>
    <row r="932" spans="1:2" x14ac:dyDescent="0.3">
      <c r="A932" s="14" t="s">
        <v>641</v>
      </c>
    </row>
    <row r="933" spans="1:2" x14ac:dyDescent="0.3">
      <c r="A933" s="15" t="s">
        <v>968</v>
      </c>
      <c r="B933" s="13">
        <v>17</v>
      </c>
    </row>
    <row r="934" spans="1:2" x14ac:dyDescent="0.3">
      <c r="A934" s="15" t="s">
        <v>969</v>
      </c>
      <c r="B934" s="13">
        <v>8</v>
      </c>
    </row>
    <row r="935" spans="1:2" x14ac:dyDescent="0.3">
      <c r="A935" s="15" t="s">
        <v>970</v>
      </c>
      <c r="B935" s="13">
        <v>25</v>
      </c>
    </row>
    <row r="936" spans="1:2" x14ac:dyDescent="0.3">
      <c r="A936" s="15" t="s">
        <v>971</v>
      </c>
      <c r="B936" s="13">
        <v>14</v>
      </c>
    </row>
    <row r="937" spans="1:2" x14ac:dyDescent="0.3">
      <c r="A937" s="15" t="s">
        <v>972</v>
      </c>
      <c r="B937" s="13">
        <v>14</v>
      </c>
    </row>
    <row r="938" spans="1:2" x14ac:dyDescent="0.3">
      <c r="A938" s="15" t="s">
        <v>973</v>
      </c>
      <c r="B938" s="13">
        <v>15</v>
      </c>
    </row>
    <row r="939" spans="1:2" x14ac:dyDescent="0.3">
      <c r="A939" s="15" t="s">
        <v>974</v>
      </c>
      <c r="B939" s="13">
        <v>5</v>
      </c>
    </row>
    <row r="940" spans="1:2" x14ac:dyDescent="0.3">
      <c r="A940" s="15" t="s">
        <v>975</v>
      </c>
      <c r="B940" s="13">
        <v>16</v>
      </c>
    </row>
    <row r="941" spans="1:2" x14ac:dyDescent="0.3">
      <c r="A941" s="15" t="s">
        <v>976</v>
      </c>
      <c r="B941" s="13">
        <v>10</v>
      </c>
    </row>
    <row r="942" spans="1:2" x14ac:dyDescent="0.3">
      <c r="A942" s="15" t="s">
        <v>977</v>
      </c>
      <c r="B942" s="13">
        <v>25</v>
      </c>
    </row>
    <row r="948" spans="1:4" x14ac:dyDescent="0.3">
      <c r="A948" s="24" t="s">
        <v>641</v>
      </c>
      <c r="B948" s="24"/>
      <c r="C948" s="17"/>
      <c r="D948" s="17"/>
    </row>
    <row r="949" spans="1:4" x14ac:dyDescent="0.3">
      <c r="A949" s="15" t="s">
        <v>222</v>
      </c>
      <c r="B949" s="19">
        <f>B933/$B$11</f>
        <v>0.56666666666666665</v>
      </c>
      <c r="C949" s="19"/>
      <c r="D949" s="19"/>
    </row>
    <row r="950" spans="1:4" x14ac:dyDescent="0.3">
      <c r="A950" s="15" t="s">
        <v>223</v>
      </c>
      <c r="B950" s="19">
        <f t="shared" ref="B950:B958" si="15">B934/$B$11</f>
        <v>0.26666666666666666</v>
      </c>
      <c r="C950" s="19"/>
      <c r="D950" s="19"/>
    </row>
    <row r="951" spans="1:4" x14ac:dyDescent="0.3">
      <c r="A951" s="15" t="s">
        <v>224</v>
      </c>
      <c r="B951" s="19">
        <f t="shared" si="15"/>
        <v>0.83333333333333337</v>
      </c>
      <c r="C951" s="19"/>
      <c r="D951" s="19"/>
    </row>
    <row r="952" spans="1:4" x14ac:dyDescent="0.3">
      <c r="A952" s="15" t="s">
        <v>225</v>
      </c>
      <c r="B952" s="19">
        <f t="shared" si="15"/>
        <v>0.46666666666666667</v>
      </c>
      <c r="C952" s="19"/>
      <c r="D952" s="19"/>
    </row>
    <row r="953" spans="1:4" x14ac:dyDescent="0.3">
      <c r="A953" s="15" t="s">
        <v>226</v>
      </c>
      <c r="B953" s="19">
        <f t="shared" si="15"/>
        <v>0.46666666666666667</v>
      </c>
      <c r="C953" s="19"/>
      <c r="D953" s="19"/>
    </row>
    <row r="954" spans="1:4" x14ac:dyDescent="0.3">
      <c r="A954" s="15" t="s">
        <v>227</v>
      </c>
      <c r="B954" s="19">
        <f t="shared" si="15"/>
        <v>0.5</v>
      </c>
      <c r="C954" s="19"/>
      <c r="D954" s="19"/>
    </row>
    <row r="955" spans="1:4" x14ac:dyDescent="0.3">
      <c r="A955" s="15" t="s">
        <v>228</v>
      </c>
      <c r="B955" s="19">
        <f t="shared" si="15"/>
        <v>0.16666666666666666</v>
      </c>
      <c r="C955" s="19"/>
      <c r="D955" s="19"/>
    </row>
    <row r="956" spans="1:4" x14ac:dyDescent="0.3">
      <c r="A956" s="15" t="s">
        <v>229</v>
      </c>
      <c r="B956" s="19">
        <f t="shared" si="15"/>
        <v>0.53333333333333333</v>
      </c>
      <c r="C956" s="19"/>
      <c r="D956" s="19"/>
    </row>
    <row r="957" spans="1:4" x14ac:dyDescent="0.3">
      <c r="A957" s="15" t="s">
        <v>230</v>
      </c>
      <c r="B957" s="19">
        <f t="shared" si="15"/>
        <v>0.33333333333333331</v>
      </c>
      <c r="C957" s="19"/>
      <c r="D957" s="19"/>
    </row>
    <row r="958" spans="1:4" x14ac:dyDescent="0.3">
      <c r="A958" s="15" t="s">
        <v>231</v>
      </c>
      <c r="B958" s="19">
        <f t="shared" si="15"/>
        <v>0.83333333333333337</v>
      </c>
      <c r="C958" s="19"/>
      <c r="D958" s="19"/>
    </row>
    <row r="963" spans="1:2" x14ac:dyDescent="0.3">
      <c r="A963" s="14" t="s">
        <v>641</v>
      </c>
    </row>
    <row r="964" spans="1:2" x14ac:dyDescent="0.3">
      <c r="A964" s="15" t="s">
        <v>989</v>
      </c>
      <c r="B964" s="13">
        <v>29</v>
      </c>
    </row>
    <row r="965" spans="1:2" x14ac:dyDescent="0.3">
      <c r="A965" s="15" t="s">
        <v>990</v>
      </c>
      <c r="B965" s="13">
        <v>30</v>
      </c>
    </row>
    <row r="966" spans="1:2" x14ac:dyDescent="0.3">
      <c r="A966" s="15" t="s">
        <v>991</v>
      </c>
      <c r="B966" s="13">
        <v>8</v>
      </c>
    </row>
    <row r="967" spans="1:2" x14ac:dyDescent="0.3">
      <c r="A967" s="15" t="s">
        <v>992</v>
      </c>
      <c r="B967" s="13">
        <v>30</v>
      </c>
    </row>
    <row r="968" spans="1:2" x14ac:dyDescent="0.3">
      <c r="A968" s="15" t="s">
        <v>993</v>
      </c>
      <c r="B968" s="13">
        <v>17</v>
      </c>
    </row>
    <row r="969" spans="1:2" x14ac:dyDescent="0.3">
      <c r="A969" s="15" t="s">
        <v>994</v>
      </c>
      <c r="B969" s="13">
        <v>24</v>
      </c>
    </row>
    <row r="970" spans="1:2" x14ac:dyDescent="0.3">
      <c r="A970" s="15" t="s">
        <v>995</v>
      </c>
      <c r="B970" s="13">
        <v>30</v>
      </c>
    </row>
    <row r="971" spans="1:2" x14ac:dyDescent="0.3">
      <c r="A971" s="15" t="s">
        <v>996</v>
      </c>
      <c r="B971" s="13">
        <v>26</v>
      </c>
    </row>
    <row r="972" spans="1:2" x14ac:dyDescent="0.3">
      <c r="A972" s="15" t="s">
        <v>997</v>
      </c>
      <c r="B972" s="13">
        <v>29</v>
      </c>
    </row>
    <row r="973" spans="1:2" x14ac:dyDescent="0.3">
      <c r="A973" s="15" t="s">
        <v>998</v>
      </c>
      <c r="B973" s="13">
        <v>30</v>
      </c>
    </row>
    <row r="979" spans="1:4" x14ac:dyDescent="0.3">
      <c r="A979" s="24" t="s">
        <v>641</v>
      </c>
      <c r="B979" s="24"/>
      <c r="C979" s="17"/>
      <c r="D979" s="17"/>
    </row>
    <row r="980" spans="1:4" x14ac:dyDescent="0.3">
      <c r="A980" s="15" t="s">
        <v>247</v>
      </c>
      <c r="B980" s="19">
        <f>B964/$B$11</f>
        <v>0.96666666666666667</v>
      </c>
      <c r="C980" s="19"/>
      <c r="D980" s="19"/>
    </row>
    <row r="981" spans="1:4" x14ac:dyDescent="0.3">
      <c r="A981" s="15" t="s">
        <v>248</v>
      </c>
      <c r="B981" s="19">
        <f t="shared" ref="B981:B989" si="16">B965/$B$11</f>
        <v>1</v>
      </c>
      <c r="C981" s="19"/>
      <c r="D981" s="19"/>
    </row>
    <row r="982" spans="1:4" x14ac:dyDescent="0.3">
      <c r="A982" s="15" t="s">
        <v>249</v>
      </c>
      <c r="B982" s="19">
        <f t="shared" si="16"/>
        <v>0.26666666666666666</v>
      </c>
      <c r="C982" s="19"/>
      <c r="D982" s="19"/>
    </row>
    <row r="983" spans="1:4" x14ac:dyDescent="0.3">
      <c r="A983" s="15" t="s">
        <v>250</v>
      </c>
      <c r="B983" s="19">
        <f t="shared" si="16"/>
        <v>1</v>
      </c>
      <c r="C983" s="19"/>
      <c r="D983" s="19"/>
    </row>
    <row r="984" spans="1:4" x14ac:dyDescent="0.3">
      <c r="A984" s="15" t="s">
        <v>251</v>
      </c>
      <c r="B984" s="19">
        <f t="shared" si="16"/>
        <v>0.56666666666666665</v>
      </c>
      <c r="C984" s="19"/>
      <c r="D984" s="19"/>
    </row>
    <row r="985" spans="1:4" x14ac:dyDescent="0.3">
      <c r="A985" s="15" t="s">
        <v>252</v>
      </c>
      <c r="B985" s="19">
        <f t="shared" si="16"/>
        <v>0.8</v>
      </c>
      <c r="C985" s="19"/>
      <c r="D985" s="19"/>
    </row>
    <row r="986" spans="1:4" x14ac:dyDescent="0.3">
      <c r="A986" s="15" t="s">
        <v>253</v>
      </c>
      <c r="B986" s="19">
        <f t="shared" si="16"/>
        <v>1</v>
      </c>
      <c r="C986" s="19"/>
      <c r="D986" s="19"/>
    </row>
    <row r="987" spans="1:4" x14ac:dyDescent="0.3">
      <c r="A987" s="15" t="s">
        <v>254</v>
      </c>
      <c r="B987" s="19">
        <f t="shared" si="16"/>
        <v>0.8666666666666667</v>
      </c>
      <c r="C987" s="19"/>
      <c r="D987" s="19"/>
    </row>
    <row r="988" spans="1:4" x14ac:dyDescent="0.3">
      <c r="A988" s="15" t="s">
        <v>255</v>
      </c>
      <c r="B988" s="19">
        <f t="shared" si="16"/>
        <v>0.96666666666666667</v>
      </c>
      <c r="C988" s="19"/>
      <c r="D988" s="19"/>
    </row>
    <row r="989" spans="1:4" x14ac:dyDescent="0.3">
      <c r="A989" s="15" t="s">
        <v>256</v>
      </c>
      <c r="B989" s="19">
        <f t="shared" si="16"/>
        <v>1</v>
      </c>
      <c r="C989" s="19"/>
      <c r="D989" s="19"/>
    </row>
    <row r="994" spans="1:4" x14ac:dyDescent="0.3">
      <c r="A994" s="14" t="s">
        <v>641</v>
      </c>
    </row>
    <row r="995" spans="1:4" x14ac:dyDescent="0.3">
      <c r="A995" s="15" t="s">
        <v>1000</v>
      </c>
      <c r="B995" s="13">
        <v>25</v>
      </c>
    </row>
    <row r="996" spans="1:4" x14ac:dyDescent="0.3">
      <c r="A996" s="15" t="s">
        <v>1001</v>
      </c>
      <c r="B996" s="13">
        <v>30</v>
      </c>
    </row>
    <row r="997" spans="1:4" x14ac:dyDescent="0.3">
      <c r="A997" s="15" t="s">
        <v>1002</v>
      </c>
      <c r="B997" s="13">
        <v>30</v>
      </c>
    </row>
    <row r="998" spans="1:4" x14ac:dyDescent="0.3">
      <c r="A998" s="15" t="s">
        <v>1003</v>
      </c>
      <c r="B998" s="13">
        <v>18</v>
      </c>
    </row>
    <row r="999" spans="1:4" x14ac:dyDescent="0.3">
      <c r="A999" s="15" t="s">
        <v>1004</v>
      </c>
      <c r="B999" s="13">
        <v>5</v>
      </c>
    </row>
    <row r="1000" spans="1:4" x14ac:dyDescent="0.3">
      <c r="A1000" s="15" t="s">
        <v>1005</v>
      </c>
      <c r="B1000" s="13">
        <v>22</v>
      </c>
    </row>
    <row r="1001" spans="1:4" x14ac:dyDescent="0.3">
      <c r="A1001" s="15" t="s">
        <v>1006</v>
      </c>
      <c r="B1001" s="13">
        <v>18</v>
      </c>
    </row>
    <row r="1007" spans="1:4" x14ac:dyDescent="0.3">
      <c r="A1007" s="24" t="s">
        <v>641</v>
      </c>
      <c r="B1007" s="24"/>
      <c r="C1007" s="17"/>
      <c r="D1007" s="17"/>
    </row>
    <row r="1008" spans="1:4" x14ac:dyDescent="0.3">
      <c r="A1008" s="15" t="s">
        <v>258</v>
      </c>
      <c r="B1008" s="19">
        <f>B995/$B$11</f>
        <v>0.83333333333333337</v>
      </c>
      <c r="C1008" s="19"/>
      <c r="D1008" s="19"/>
    </row>
    <row r="1009" spans="1:4" x14ac:dyDescent="0.3">
      <c r="A1009" s="15" t="s">
        <v>259</v>
      </c>
      <c r="B1009" s="19">
        <f t="shared" ref="B1009:B1014" si="17">B996/$B$11</f>
        <v>1</v>
      </c>
      <c r="C1009" s="19"/>
      <c r="D1009" s="19"/>
    </row>
    <row r="1010" spans="1:4" x14ac:dyDescent="0.3">
      <c r="A1010" s="15" t="s">
        <v>260</v>
      </c>
      <c r="B1010" s="19">
        <f t="shared" si="17"/>
        <v>1</v>
      </c>
      <c r="C1010" s="19"/>
      <c r="D1010" s="19"/>
    </row>
    <row r="1011" spans="1:4" x14ac:dyDescent="0.3">
      <c r="A1011" s="15" t="s">
        <v>261</v>
      </c>
      <c r="B1011" s="19">
        <f t="shared" si="17"/>
        <v>0.6</v>
      </c>
      <c r="C1011" s="19"/>
      <c r="D1011" s="19"/>
    </row>
    <row r="1012" spans="1:4" x14ac:dyDescent="0.3">
      <c r="A1012" s="15" t="s">
        <v>262</v>
      </c>
      <c r="B1012" s="19">
        <f t="shared" si="17"/>
        <v>0.16666666666666666</v>
      </c>
      <c r="C1012" s="19"/>
      <c r="D1012" s="19"/>
    </row>
    <row r="1013" spans="1:4" x14ac:dyDescent="0.3">
      <c r="A1013" s="15" t="s">
        <v>263</v>
      </c>
      <c r="B1013" s="19">
        <f t="shared" si="17"/>
        <v>0.73333333333333328</v>
      </c>
      <c r="C1013" s="19"/>
      <c r="D1013" s="19"/>
    </row>
    <row r="1014" spans="1:4" x14ac:dyDescent="0.3">
      <c r="A1014" s="15" t="s">
        <v>264</v>
      </c>
      <c r="B1014" s="19">
        <f t="shared" si="17"/>
        <v>0.6</v>
      </c>
      <c r="C1014" s="19"/>
      <c r="D1014" s="19"/>
    </row>
    <row r="1019" spans="1:4" x14ac:dyDescent="0.3">
      <c r="A1019" s="14" t="s">
        <v>641</v>
      </c>
    </row>
    <row r="1020" spans="1:4" x14ac:dyDescent="0.3">
      <c r="A1020" s="15" t="s">
        <v>1008</v>
      </c>
      <c r="B1020" s="13">
        <v>12</v>
      </c>
    </row>
    <row r="1021" spans="1:4" x14ac:dyDescent="0.3">
      <c r="A1021" s="15" t="s">
        <v>1009</v>
      </c>
      <c r="B1021" s="13">
        <v>29</v>
      </c>
    </row>
    <row r="1022" spans="1:4" x14ac:dyDescent="0.3">
      <c r="A1022" s="15" t="s">
        <v>1010</v>
      </c>
      <c r="B1022" s="13">
        <v>9</v>
      </c>
    </row>
    <row r="1023" spans="1:4" x14ac:dyDescent="0.3">
      <c r="A1023" s="15" t="s">
        <v>1011</v>
      </c>
      <c r="B1023" s="13">
        <v>2</v>
      </c>
    </row>
    <row r="1029" spans="1:4" x14ac:dyDescent="0.3">
      <c r="A1029" s="24" t="s">
        <v>641</v>
      </c>
      <c r="B1029" s="24"/>
      <c r="C1029" s="17"/>
      <c r="D1029" s="17"/>
    </row>
    <row r="1030" spans="1:4" x14ac:dyDescent="0.3">
      <c r="A1030" s="15" t="s">
        <v>266</v>
      </c>
      <c r="B1030" s="19">
        <f>B1020/$B$11</f>
        <v>0.4</v>
      </c>
      <c r="C1030" s="19"/>
      <c r="D1030" s="19"/>
    </row>
    <row r="1031" spans="1:4" x14ac:dyDescent="0.3">
      <c r="A1031" s="15" t="s">
        <v>267</v>
      </c>
      <c r="B1031" s="19">
        <f t="shared" ref="B1031:B1033" si="18">B1021/$B$11</f>
        <v>0.96666666666666667</v>
      </c>
      <c r="C1031" s="19"/>
      <c r="D1031" s="19"/>
    </row>
    <row r="1032" spans="1:4" x14ac:dyDescent="0.3">
      <c r="A1032" s="15" t="s">
        <v>268</v>
      </c>
      <c r="B1032" s="19">
        <f t="shared" si="18"/>
        <v>0.3</v>
      </c>
      <c r="C1032" s="19"/>
      <c r="D1032" s="19"/>
    </row>
    <row r="1033" spans="1:4" x14ac:dyDescent="0.3">
      <c r="A1033" s="15" t="s">
        <v>269</v>
      </c>
      <c r="B1033" s="19">
        <f t="shared" si="18"/>
        <v>6.6666666666666666E-2</v>
      </c>
      <c r="C1033" s="19"/>
      <c r="D1033" s="19"/>
    </row>
    <row r="1038" spans="1:4" x14ac:dyDescent="0.3">
      <c r="A1038" s="14" t="s">
        <v>641</v>
      </c>
    </row>
    <row r="1039" spans="1:4" x14ac:dyDescent="0.3">
      <c r="A1039" s="15" t="s">
        <v>1016</v>
      </c>
      <c r="B1039" s="13">
        <v>10</v>
      </c>
    </row>
    <row r="1040" spans="1:4" x14ac:dyDescent="0.3">
      <c r="A1040" s="15" t="s">
        <v>1017</v>
      </c>
      <c r="B1040" s="13">
        <v>13</v>
      </c>
    </row>
    <row r="1041" spans="1:4" x14ac:dyDescent="0.3">
      <c r="A1041" s="15" t="s">
        <v>1018</v>
      </c>
      <c r="B1041" s="13">
        <v>3</v>
      </c>
    </row>
    <row r="1042" spans="1:4" x14ac:dyDescent="0.3">
      <c r="A1042" s="15" t="s">
        <v>1019</v>
      </c>
      <c r="B1042" s="13">
        <v>29</v>
      </c>
    </row>
    <row r="1043" spans="1:4" x14ac:dyDescent="0.3">
      <c r="A1043" s="15" t="s">
        <v>1020</v>
      </c>
      <c r="B1043" s="13">
        <v>3</v>
      </c>
    </row>
    <row r="1044" spans="1:4" x14ac:dyDescent="0.3">
      <c r="A1044" s="15" t="s">
        <v>1021</v>
      </c>
      <c r="B1044" s="13"/>
    </row>
    <row r="1045" spans="1:4" x14ac:dyDescent="0.3">
      <c r="A1045" s="15" t="s">
        <v>1022</v>
      </c>
      <c r="B1045" s="13"/>
    </row>
    <row r="1046" spans="1:4" x14ac:dyDescent="0.3">
      <c r="A1046" s="15" t="s">
        <v>1023</v>
      </c>
      <c r="B1046" s="13"/>
    </row>
    <row r="1047" spans="1:4" x14ac:dyDescent="0.3">
      <c r="A1047" s="15" t="s">
        <v>1024</v>
      </c>
      <c r="B1047" s="13"/>
    </row>
    <row r="1053" spans="1:4" x14ac:dyDescent="0.3">
      <c r="A1053" s="24" t="s">
        <v>641</v>
      </c>
      <c r="B1053" s="24"/>
      <c r="C1053" s="17"/>
      <c r="D1053" s="17"/>
    </row>
    <row r="1054" spans="1:4" x14ac:dyDescent="0.3">
      <c r="A1054" s="15" t="s">
        <v>275</v>
      </c>
      <c r="B1054" s="19">
        <f>B1039/$B$11</f>
        <v>0.33333333333333331</v>
      </c>
      <c r="C1054" s="19"/>
      <c r="D1054" s="19"/>
    </row>
    <row r="1055" spans="1:4" x14ac:dyDescent="0.3">
      <c r="A1055" s="15" t="s">
        <v>276</v>
      </c>
      <c r="B1055" s="19">
        <f t="shared" ref="B1055:B1058" si="19">B1040/$B$11</f>
        <v>0.43333333333333335</v>
      </c>
      <c r="C1055" s="19"/>
      <c r="D1055" s="19"/>
    </row>
    <row r="1056" spans="1:4" x14ac:dyDescent="0.3">
      <c r="A1056" s="15" t="s">
        <v>277</v>
      </c>
      <c r="B1056" s="19">
        <f t="shared" si="19"/>
        <v>0.1</v>
      </c>
      <c r="C1056" s="19"/>
      <c r="D1056" s="19"/>
    </row>
    <row r="1057" spans="1:4" x14ac:dyDescent="0.3">
      <c r="A1057" s="15" t="s">
        <v>278</v>
      </c>
      <c r="B1057" s="19">
        <f t="shared" si="19"/>
        <v>0.96666666666666667</v>
      </c>
      <c r="C1057" s="19"/>
      <c r="D1057" s="19"/>
    </row>
    <row r="1058" spans="1:4" x14ac:dyDescent="0.3">
      <c r="A1058" s="15" t="s">
        <v>279</v>
      </c>
      <c r="B1058" s="19">
        <f t="shared" si="19"/>
        <v>0.1</v>
      </c>
      <c r="C1058" s="19"/>
      <c r="D1058" s="1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0D2F-8248-442F-B483-0DC0538C2011}">
  <sheetPr codeName="Planilha4"/>
  <dimension ref="C1:XFC877"/>
  <sheetViews>
    <sheetView showGridLines="0" showRowColHeaders="0" tabSelected="1" zoomScaleNormal="100" workbookViewId="0">
      <pane ySplit="8" topLeftCell="A237" activePane="bottomLeft" state="frozen"/>
      <selection pane="bottomLeft" activeCell="XFD98" sqref="XFD98"/>
    </sheetView>
  </sheetViews>
  <sheetFormatPr defaultRowHeight="15" x14ac:dyDescent="0.25"/>
  <cols>
    <col min="1" max="1" width="36.109375" style="25" customWidth="1"/>
    <col min="2" max="2" width="8.88671875" style="25" customWidth="1"/>
    <col min="3" max="3" width="47.5546875" style="25" customWidth="1"/>
    <col min="4" max="4" width="22.5546875" style="26" customWidth="1"/>
    <col min="5" max="5" width="8.88671875" style="27" customWidth="1"/>
    <col min="6" max="16383" width="8.88671875" style="25" hidden="1" customWidth="1"/>
    <col min="16384" max="16384" width="36.109375" style="25" customWidth="1"/>
  </cols>
  <sheetData>
    <row r="1" spans="3:5" s="48" customFormat="1" x14ac:dyDescent="0.25">
      <c r="D1" s="49"/>
      <c r="E1" s="50"/>
    </row>
    <row r="2" spans="3:5" s="48" customFormat="1" x14ac:dyDescent="0.25">
      <c r="D2" s="49"/>
      <c r="E2" s="50"/>
    </row>
    <row r="3" spans="3:5" s="48" customFormat="1" x14ac:dyDescent="0.25">
      <c r="D3" s="49"/>
      <c r="E3" s="50"/>
    </row>
    <row r="4" spans="3:5" s="48" customFormat="1" x14ac:dyDescent="0.25">
      <c r="D4" s="49"/>
      <c r="E4" s="50"/>
    </row>
    <row r="5" spans="3:5" s="48" customFormat="1" x14ac:dyDescent="0.25">
      <c r="D5" s="49"/>
      <c r="E5" s="50"/>
    </row>
    <row r="6" spans="3:5" s="48" customFormat="1" x14ac:dyDescent="0.25">
      <c r="D6" s="49"/>
      <c r="E6" s="50"/>
    </row>
    <row r="7" spans="3:5" s="48" customFormat="1" x14ac:dyDescent="0.25">
      <c r="D7" s="49"/>
      <c r="E7" s="50"/>
    </row>
    <row r="8" spans="3:5" s="48" customFormat="1" x14ac:dyDescent="0.25">
      <c r="D8" s="49"/>
      <c r="E8" s="50"/>
    </row>
    <row r="11" spans="3:5" ht="15.6" x14ac:dyDescent="0.3">
      <c r="C11" s="51" t="s">
        <v>808</v>
      </c>
      <c r="D11" s="52"/>
    </row>
    <row r="13" spans="3:5" ht="15.6" x14ac:dyDescent="0.3">
      <c r="C13" s="29" t="s">
        <v>803</v>
      </c>
    </row>
    <row r="14" spans="3:5" ht="15.6" x14ac:dyDescent="0.3">
      <c r="C14" s="30" t="s">
        <v>804</v>
      </c>
      <c r="D14" s="28" t="s">
        <v>1033</v>
      </c>
    </row>
    <row r="15" spans="3:5" x14ac:dyDescent="0.25">
      <c r="C15" s="31" t="str">
        <f>IF('TABELA 1'!A8&gt;0,'TABELA 1'!A8,"")</f>
        <v>Familiar</v>
      </c>
      <c r="D15" s="32">
        <f>IF('TABELA 1'!C8&gt;0,'TABELA 1'!C8,"")</f>
        <v>0.36666666666666664</v>
      </c>
    </row>
    <row r="16" spans="3:5" x14ac:dyDescent="0.25">
      <c r="C16" s="31" t="str">
        <f>IF('TABELA 1'!A9&gt;0,'TABELA 1'!A9,"")</f>
        <v>Não familiar</v>
      </c>
      <c r="D16" s="32">
        <f>IF('TABELA 1'!C9&gt;0,'TABELA 1'!C9,"")</f>
        <v>0.6333333333333333</v>
      </c>
    </row>
    <row r="17" spans="3:4" ht="15.6" x14ac:dyDescent="0.3">
      <c r="C17" s="33" t="s">
        <v>805</v>
      </c>
      <c r="D17" s="34">
        <f>IF('TABELA 1'!C11&gt;0,'TABELA 1'!C11,"")</f>
        <v>1</v>
      </c>
    </row>
    <row r="21" spans="3:4" ht="15.6" x14ac:dyDescent="0.3">
      <c r="C21" s="29" t="s">
        <v>1030</v>
      </c>
    </row>
    <row r="22" spans="3:4" ht="15.6" x14ac:dyDescent="0.3">
      <c r="C22" s="30" t="s">
        <v>804</v>
      </c>
      <c r="D22" s="28" t="s">
        <v>1033</v>
      </c>
    </row>
    <row r="23" spans="3:4" x14ac:dyDescent="0.25">
      <c r="C23" s="31" t="str">
        <f>IF('TABELA 1'!A16&gt;0,'TABELA 1'!A16,"")</f>
        <v>Cajuri</v>
      </c>
      <c r="D23" s="32">
        <f>IF('TABELA 1'!B16&gt;0,'TABELA 1'!B16,"")</f>
        <v>6.6666666666666666E-2</v>
      </c>
    </row>
    <row r="24" spans="3:4" x14ac:dyDescent="0.25">
      <c r="C24" s="31" t="str">
        <f>IF('TABELA 1'!A17&gt;0,'TABELA 1'!A17,"")</f>
        <v>Canaã</v>
      </c>
      <c r="D24" s="32">
        <f>IF('TABELA 1'!B17&gt;0,'TABELA 1'!B17,"")</f>
        <v>6.6666666666666666E-2</v>
      </c>
    </row>
    <row r="25" spans="3:4" x14ac:dyDescent="0.25">
      <c r="C25" s="31" t="str">
        <f>IF('TABELA 1'!A18&gt;0,'TABELA 1'!A18,"")</f>
        <v>Coimbra</v>
      </c>
      <c r="D25" s="32">
        <f>IF('TABELA 1'!B18&gt;0,'TABELA 1'!B18,"")</f>
        <v>0.16666666666666666</v>
      </c>
    </row>
    <row r="26" spans="3:4" x14ac:dyDescent="0.25">
      <c r="C26" s="31" t="str">
        <f>IF('TABELA 1'!A19&gt;0,'TABELA 1'!A19,"")</f>
        <v>Dores do Turvo</v>
      </c>
      <c r="D26" s="32">
        <f>IF('TABELA 1'!B19&gt;0,'TABELA 1'!B19,"")</f>
        <v>3.3333333333333333E-2</v>
      </c>
    </row>
    <row r="27" spans="3:4" x14ac:dyDescent="0.25">
      <c r="C27" s="31" t="str">
        <f>IF('TABELA 1'!A20&gt;0,'TABELA 1'!A20,"")</f>
        <v xml:space="preserve">Guiricema </v>
      </c>
      <c r="D27" s="32">
        <f>IF('TABELA 1'!B20&gt;0,'TABELA 1'!B20,"")</f>
        <v>3.3333333333333333E-2</v>
      </c>
    </row>
    <row r="28" spans="3:4" x14ac:dyDescent="0.25">
      <c r="C28" s="31" t="str">
        <f>IF('TABELA 1'!A21&gt;0,'TABELA 1'!A21,"")</f>
        <v>Paula Cândido</v>
      </c>
      <c r="D28" s="32">
        <f>IF('TABELA 1'!B21&gt;0,'TABELA 1'!B21,"")</f>
        <v>0.1</v>
      </c>
    </row>
    <row r="29" spans="3:4" x14ac:dyDescent="0.25">
      <c r="C29" s="31" t="str">
        <f>IF('TABELA 1'!A22&gt;0,'TABELA 1'!A22,"")</f>
        <v>Piranga</v>
      </c>
      <c r="D29" s="32">
        <f>IF('TABELA 1'!B22&gt;0,'TABELA 1'!B22,"")</f>
        <v>6.6666666666666666E-2</v>
      </c>
    </row>
    <row r="30" spans="3:4" x14ac:dyDescent="0.25">
      <c r="C30" s="31" t="str">
        <f>IF('TABELA 1'!A23&gt;0,'TABELA 1'!A23,"")</f>
        <v>Porto Firme</v>
      </c>
      <c r="D30" s="32">
        <f>IF('TABELA 1'!B23&gt;0,'TABELA 1'!B23,"")</f>
        <v>6.6666666666666666E-2</v>
      </c>
    </row>
    <row r="31" spans="3:4" x14ac:dyDescent="0.25">
      <c r="C31" s="31" t="str">
        <f>IF('TABELA 1'!A24&gt;0,'TABELA 1'!A24,"")</f>
        <v>Presidente Bernardes</v>
      </c>
      <c r="D31" s="32">
        <f>IF('TABELA 1'!B24&gt;0,'TABELA 1'!B24,"")</f>
        <v>0.1</v>
      </c>
    </row>
    <row r="32" spans="3:4" x14ac:dyDescent="0.25">
      <c r="C32" s="31" t="str">
        <f>IF('TABELA 1'!A25&gt;0,'TABELA 1'!A25,"")</f>
        <v>Teixeiras</v>
      </c>
      <c r="D32" s="32">
        <f>IF('TABELA 1'!B25&gt;0,'TABELA 1'!B25,"")</f>
        <v>0.1</v>
      </c>
    </row>
    <row r="33" spans="3:4" x14ac:dyDescent="0.25">
      <c r="C33" s="31" t="str">
        <f>IF('TABELA 1'!A26&gt;0,'TABELA 1'!A26,"")</f>
        <v>Ubá</v>
      </c>
      <c r="D33" s="32">
        <f>IF('TABELA 1'!B26&gt;0,'TABELA 1'!B26,"")</f>
        <v>3.3333333333333333E-2</v>
      </c>
    </row>
    <row r="34" spans="3:4" x14ac:dyDescent="0.25">
      <c r="C34" s="31" t="str">
        <f>IF('TABELA 1'!A27&gt;0,'TABELA 1'!A27,"")</f>
        <v>Ubari</v>
      </c>
      <c r="D34" s="32">
        <f>IF('TABELA 1'!B27&gt;0,'TABELA 1'!B27,"")</f>
        <v>3.3333333333333333E-2</v>
      </c>
    </row>
    <row r="35" spans="3:4" x14ac:dyDescent="0.25">
      <c r="C35" s="31" t="str">
        <f>IF('TABELA 1'!A28&gt;0,'TABELA 1'!A28,"")</f>
        <v>Viçosa</v>
      </c>
      <c r="D35" s="32">
        <f>IF('TABELA 1'!B28&gt;0,'TABELA 1'!B28,"")</f>
        <v>0.13333333333333333</v>
      </c>
    </row>
    <row r="36" spans="3:4" ht="15.6" x14ac:dyDescent="0.3">
      <c r="C36" s="33" t="s">
        <v>805</v>
      </c>
      <c r="D36" s="34">
        <f>SUM(D23:D35)</f>
        <v>0.99999999999999989</v>
      </c>
    </row>
    <row r="40" spans="3:4" ht="15.6" x14ac:dyDescent="0.3">
      <c r="C40" s="29" t="s">
        <v>806</v>
      </c>
    </row>
    <row r="41" spans="3:4" ht="15.6" x14ac:dyDescent="0.3">
      <c r="C41" s="30" t="s">
        <v>804</v>
      </c>
      <c r="D41" s="28" t="s">
        <v>1033</v>
      </c>
    </row>
    <row r="42" spans="3:4" x14ac:dyDescent="0.25">
      <c r="C42" s="31" t="str">
        <f>IF('TABELA 1'!A36&gt;0,'TABELA 1'!A36,"")</f>
        <v>1) Até 200</v>
      </c>
      <c r="D42" s="32">
        <f>IF('TABELA 1'!B36&gt;0,'TABELA 1'!B36,"")</f>
        <v>6.6666666666666666E-2</v>
      </c>
    </row>
    <row r="43" spans="3:4" x14ac:dyDescent="0.25">
      <c r="C43" s="31" t="str">
        <f>IF('TABELA 1'!A37&gt;0,'TABELA 1'!A37,"")</f>
        <v>2) 201 a 500</v>
      </c>
      <c r="D43" s="32">
        <f>IF('TABELA 1'!B37&gt;0,'TABELA 1'!B37,"")</f>
        <v>0.2</v>
      </c>
    </row>
    <row r="44" spans="3:4" x14ac:dyDescent="0.25">
      <c r="C44" s="31" t="str">
        <f>IF('TABELA 1'!A38&gt;0,'TABELA 1'!A38,"")</f>
        <v>3) 501 a 1000</v>
      </c>
      <c r="D44" s="32">
        <f>IF('TABELA 1'!B38&gt;0,'TABELA 1'!B38,"")</f>
        <v>0.3</v>
      </c>
    </row>
    <row r="45" spans="3:4" x14ac:dyDescent="0.25">
      <c r="C45" s="31" t="str">
        <f>IF('TABELA 1'!A39&gt;0,'TABELA 1'!A39,"")</f>
        <v>4) 1001 a 2500</v>
      </c>
      <c r="D45" s="32">
        <f>IF('TABELA 1'!B39&gt;0,'TABELA 1'!B39,"")</f>
        <v>0.3</v>
      </c>
    </row>
    <row r="46" spans="3:4" x14ac:dyDescent="0.25">
      <c r="C46" s="31" t="str">
        <f>IF('TABELA 1'!A40&gt;0,'TABELA 1'!A40,"")</f>
        <v>5) Acima de 2501</v>
      </c>
      <c r="D46" s="32">
        <f>IF('TABELA 1'!B40&gt;0,'TABELA 1'!B40,"")</f>
        <v>0.13333333333333333</v>
      </c>
    </row>
    <row r="47" spans="3:4" ht="15.6" x14ac:dyDescent="0.3">
      <c r="C47" s="33" t="s">
        <v>805</v>
      </c>
      <c r="D47" s="34">
        <f>SUM(D42:D46)</f>
        <v>1</v>
      </c>
    </row>
    <row r="51" spans="3:4" ht="15.6" x14ac:dyDescent="0.3">
      <c r="C51" s="51" t="s">
        <v>807</v>
      </c>
      <c r="D51" s="52"/>
    </row>
    <row r="54" spans="3:4" ht="15.6" x14ac:dyDescent="0.3">
      <c r="C54" s="29" t="s">
        <v>809</v>
      </c>
    </row>
    <row r="55" spans="3:4" ht="15.6" x14ac:dyDescent="0.3">
      <c r="C55" s="30" t="s">
        <v>804</v>
      </c>
      <c r="D55" s="28" t="s">
        <v>1033</v>
      </c>
    </row>
    <row r="56" spans="3:4" x14ac:dyDescent="0.25">
      <c r="C56" s="31" t="str">
        <f>IF('TABELA 1'!A48&gt;0,'TABELA 1'!A48,"")</f>
        <v>Suavemente acidentado ou acidentado</v>
      </c>
      <c r="D56" s="32">
        <f>IF('TABELA 1'!B48&gt;0,'TABELA 1'!B48,"")</f>
        <v>0.66666666666666663</v>
      </c>
    </row>
    <row r="57" spans="3:4" x14ac:dyDescent="0.25">
      <c r="C57" s="31" t="str">
        <f>IF('TABELA 1'!A49&gt;0,'TABELA 1'!A49,"")</f>
        <v>Fortemente acidentado</v>
      </c>
      <c r="D57" s="32">
        <f>IF('TABELA 1'!B49&gt;0,'TABELA 1'!B49,"")</f>
        <v>0.3</v>
      </c>
    </row>
    <row r="58" spans="3:4" x14ac:dyDescent="0.25">
      <c r="C58" s="31" t="str">
        <f>IF('TABELA 1'!A50&gt;0,'TABELA 1'!A50,"")</f>
        <v>Extremamente acidentado</v>
      </c>
      <c r="D58" s="32">
        <f>IF('TABELA 1'!B50&gt;0,'TABELA 1'!B50,"")</f>
        <v>3.3333333333333333E-2</v>
      </c>
    </row>
    <row r="59" spans="3:4" ht="15.6" x14ac:dyDescent="0.3">
      <c r="C59" s="33" t="s">
        <v>805</v>
      </c>
      <c r="D59" s="34">
        <f>SUM(D56:D58)</f>
        <v>0.99999999999999989</v>
      </c>
    </row>
    <row r="63" spans="3:4" ht="15.6" x14ac:dyDescent="0.3">
      <c r="C63" s="29" t="s">
        <v>810</v>
      </c>
    </row>
    <row r="64" spans="3:4" ht="15.6" x14ac:dyDescent="0.3">
      <c r="C64" s="30" t="s">
        <v>804</v>
      </c>
      <c r="D64" s="28" t="s">
        <v>1033</v>
      </c>
    </row>
    <row r="65" spans="3:4" x14ac:dyDescent="0.25">
      <c r="C65" s="31" t="str">
        <f>IF('TABELA 1'!A58&gt;0,'TABELA 1'!A58,"")</f>
        <v>Semiextensivo</v>
      </c>
      <c r="D65" s="32">
        <f>IF('TABELA 1'!B58&gt;0,'TABELA 1'!B58,"")</f>
        <v>0.36666666666666664</v>
      </c>
    </row>
    <row r="66" spans="3:4" x14ac:dyDescent="0.25">
      <c r="C66" s="31" t="str">
        <f>IF('TABELA 1'!A59&gt;0,'TABELA 1'!A59,"")</f>
        <v>Intensivo</v>
      </c>
      <c r="D66" s="32">
        <f>IF('TABELA 1'!B59&gt;0,'TABELA 1'!B59,"")</f>
        <v>0.6333333333333333</v>
      </c>
    </row>
    <row r="67" spans="3:4" ht="15.6" x14ac:dyDescent="0.3">
      <c r="C67" s="33" t="s">
        <v>805</v>
      </c>
      <c r="D67" s="34">
        <f>SUM(D65:D66)</f>
        <v>1</v>
      </c>
    </row>
    <row r="71" spans="3:4" ht="15.6" x14ac:dyDescent="0.3">
      <c r="C71" s="29" t="s">
        <v>811</v>
      </c>
    </row>
    <row r="72" spans="3:4" ht="15.6" x14ac:dyDescent="0.3">
      <c r="C72" s="30" t="s">
        <v>804</v>
      </c>
      <c r="D72" s="28" t="s">
        <v>1033</v>
      </c>
    </row>
    <row r="73" spans="3:4" x14ac:dyDescent="0.25">
      <c r="C73" s="35" t="s">
        <v>7</v>
      </c>
      <c r="D73" s="32">
        <f>IF('TABELA 1'!B574&gt;0,'TABELA 1'!B574,0)</f>
        <v>0.9</v>
      </c>
    </row>
    <row r="74" spans="3:4" x14ac:dyDescent="0.25">
      <c r="C74" s="35" t="s">
        <v>8</v>
      </c>
      <c r="D74" s="32">
        <f>IF('TABELA 1'!B575&gt;0,'TABELA 1'!B575,0)</f>
        <v>0.8666666666666667</v>
      </c>
    </row>
    <row r="75" spans="3:4" x14ac:dyDescent="0.25">
      <c r="C75" s="35" t="s">
        <v>9</v>
      </c>
      <c r="D75" s="32">
        <f>IF('TABELA 1'!B576&gt;0,'TABELA 1'!B576,0)</f>
        <v>0.83333333333333337</v>
      </c>
    </row>
    <row r="76" spans="3:4" x14ac:dyDescent="0.25">
      <c r="C76" s="35" t="s">
        <v>10</v>
      </c>
      <c r="D76" s="32">
        <f>IF('TABELA 1'!B577&gt;0,'TABELA 1'!B577,0)</f>
        <v>0.8666666666666667</v>
      </c>
    </row>
    <row r="77" spans="3:4" x14ac:dyDescent="0.25">
      <c r="C77" s="35" t="s">
        <v>11</v>
      </c>
      <c r="D77" s="32">
        <f>IF('TABELA 1'!B578&gt;0,'TABELA 1'!B578,0)</f>
        <v>0.76666666666666672</v>
      </c>
    </row>
    <row r="78" spans="3:4" x14ac:dyDescent="0.25">
      <c r="C78" s="35" t="s">
        <v>12</v>
      </c>
      <c r="D78" s="32">
        <f>IF('TABELA 1'!B579&gt;0,'TABELA 1'!B579,0)</f>
        <v>0.43333333333333335</v>
      </c>
    </row>
    <row r="79" spans="3:4" x14ac:dyDescent="0.25">
      <c r="C79" s="35" t="s">
        <v>13</v>
      </c>
      <c r="D79" s="32">
        <f>IF('TABELA 1'!B580&gt;0,'TABELA 1'!B580,0)</f>
        <v>0.13333333333333333</v>
      </c>
    </row>
    <row r="80" spans="3:4" x14ac:dyDescent="0.25">
      <c r="C80" s="36" t="s">
        <v>14</v>
      </c>
      <c r="D80" s="37">
        <f>IF('TABELA 1'!B581&gt;0,'TABELA 1'!B581,0)</f>
        <v>0.56666666666666665</v>
      </c>
    </row>
    <row r="84" spans="3:3" ht="15.6" x14ac:dyDescent="0.3">
      <c r="C84" s="29" t="s">
        <v>811</v>
      </c>
    </row>
    <row r="106" spans="3:4" ht="15.6" x14ac:dyDescent="0.3">
      <c r="C106" s="51" t="s">
        <v>812</v>
      </c>
      <c r="D106" s="52"/>
    </row>
    <row r="110" spans="3:4" ht="15.6" x14ac:dyDescent="0.3">
      <c r="C110" s="29" t="s">
        <v>815</v>
      </c>
    </row>
    <row r="111" spans="3:4" ht="15.6" x14ac:dyDescent="0.3">
      <c r="C111" s="30" t="s">
        <v>804</v>
      </c>
      <c r="D111" s="28" t="s">
        <v>1033</v>
      </c>
    </row>
    <row r="112" spans="3:4" x14ac:dyDescent="0.25">
      <c r="C112" s="35" t="s">
        <v>814</v>
      </c>
      <c r="D112" s="38">
        <f>IF('TABELA 1'!B67&gt;0,'TABELA 1'!B67,"")</f>
        <v>50.166666666666664</v>
      </c>
    </row>
    <row r="113" spans="3:4" x14ac:dyDescent="0.25">
      <c r="C113" s="36" t="s">
        <v>813</v>
      </c>
      <c r="D113" s="39">
        <f>IF('TABELA 1'!B68&gt;0,'TABELA 1'!B68,"")</f>
        <v>20.306666666666668</v>
      </c>
    </row>
    <row r="117" spans="3:4" ht="15.6" x14ac:dyDescent="0.3">
      <c r="C117" s="29" t="s">
        <v>816</v>
      </c>
    </row>
    <row r="118" spans="3:4" ht="15.6" x14ac:dyDescent="0.3">
      <c r="C118" s="30" t="s">
        <v>804</v>
      </c>
      <c r="D118" s="28" t="s">
        <v>1033</v>
      </c>
    </row>
    <row r="119" spans="3:4" x14ac:dyDescent="0.25">
      <c r="C119" s="31" t="str">
        <f>IF('TABELA 1'!A75&gt;0,'TABELA 1'!A75,"")</f>
        <v>Feminino</v>
      </c>
      <c r="D119" s="32">
        <f>IF('TABELA 1'!B75&gt;0,'TABELA 1'!B75,"")</f>
        <v>0.1</v>
      </c>
    </row>
    <row r="120" spans="3:4" x14ac:dyDescent="0.25">
      <c r="C120" s="31" t="str">
        <f>IF('TABELA 1'!A76&gt;0,'TABELA 1'!A76,"")</f>
        <v>Masculino</v>
      </c>
      <c r="D120" s="32">
        <f>IF('TABELA 1'!B76&gt;0,'TABELA 1'!B76,"")</f>
        <v>0.9</v>
      </c>
    </row>
    <row r="121" spans="3:4" ht="15.6" x14ac:dyDescent="0.3">
      <c r="C121" s="33" t="s">
        <v>805</v>
      </c>
      <c r="D121" s="34">
        <f>SUM(D119:D120)</f>
        <v>1</v>
      </c>
    </row>
    <row r="125" spans="3:4" ht="15.6" x14ac:dyDescent="0.3">
      <c r="C125" s="29" t="s">
        <v>817</v>
      </c>
    </row>
    <row r="126" spans="3:4" ht="15.6" x14ac:dyDescent="0.3">
      <c r="C126" s="30" t="s">
        <v>804</v>
      </c>
      <c r="D126" s="28" t="s">
        <v>1033</v>
      </c>
    </row>
    <row r="127" spans="3:4" x14ac:dyDescent="0.25">
      <c r="C127" s="31" t="str">
        <f>IF('TABELA 1'!A84&gt;0,'TABELA 1'!A84,"")</f>
        <v>Ensino fundamental incompleto</v>
      </c>
      <c r="D127" s="32">
        <f>IF('TABELA 1'!B84&gt;0,'TABELA 1'!B84,"")</f>
        <v>0.1</v>
      </c>
    </row>
    <row r="128" spans="3:4" x14ac:dyDescent="0.25">
      <c r="C128" s="31" t="str">
        <f>IF('TABELA 1'!A85&gt;0,'TABELA 1'!A85,"")</f>
        <v>Ensino fundamental completo</v>
      </c>
      <c r="D128" s="32">
        <f>IF('TABELA 1'!B85&gt;0,'TABELA 1'!B85,"")</f>
        <v>0.1</v>
      </c>
    </row>
    <row r="129" spans="3:4" x14ac:dyDescent="0.25">
      <c r="C129" s="31" t="str">
        <f>IF('TABELA 1'!A86&gt;0,'TABELA 1'!A86,"")</f>
        <v>Ensino médio incompleto</v>
      </c>
      <c r="D129" s="32">
        <f>IF('TABELA 1'!B86&gt;0,'TABELA 1'!B86,"")</f>
        <v>6.6666666666666666E-2</v>
      </c>
    </row>
    <row r="130" spans="3:4" x14ac:dyDescent="0.25">
      <c r="C130" s="31" t="str">
        <f>IF('TABELA 1'!A87&gt;0,'TABELA 1'!A87,"")</f>
        <v>Ensino médio completo</v>
      </c>
      <c r="D130" s="32">
        <f>IF('TABELA 1'!B87&gt;0,'TABELA 1'!B87,"")</f>
        <v>0.46666666666666667</v>
      </c>
    </row>
    <row r="131" spans="3:4" x14ac:dyDescent="0.25">
      <c r="C131" s="31" t="str">
        <f>IF('TABELA 1'!A88&gt;0,'TABELA 1'!A88,"")</f>
        <v>Ensino superior incompleto</v>
      </c>
      <c r="D131" s="32">
        <f>IF('TABELA 1'!B88&gt;0,'TABELA 1'!B88,"")</f>
        <v>3.3333333333333333E-2</v>
      </c>
    </row>
    <row r="132" spans="3:4" x14ac:dyDescent="0.25">
      <c r="C132" s="31" t="str">
        <f>IF('TABELA 1'!A89&gt;0,'TABELA 1'!A89,"")</f>
        <v>Ensino superior completo</v>
      </c>
      <c r="D132" s="32">
        <f>IF('TABELA 1'!B89&gt;0,'TABELA 1'!B89,"")</f>
        <v>0.16666666666666666</v>
      </c>
    </row>
    <row r="133" spans="3:4" x14ac:dyDescent="0.25">
      <c r="C133" s="31" t="str">
        <f>IF('TABELA 1'!A90&gt;0,'TABELA 1'!A90,"")</f>
        <v>Pós-graduação</v>
      </c>
      <c r="D133" s="32">
        <f>IF('TABELA 1'!B90&gt;0,'TABELA 1'!B90,"")</f>
        <v>6.6666666666666666E-2</v>
      </c>
    </row>
    <row r="134" spans="3:4" ht="15.6" x14ac:dyDescent="0.3">
      <c r="C134" s="33" t="s">
        <v>805</v>
      </c>
      <c r="D134" s="34">
        <f>SUM(D127:D133)</f>
        <v>1</v>
      </c>
    </row>
    <row r="138" spans="3:4" ht="15.6" x14ac:dyDescent="0.3">
      <c r="C138" s="29" t="s">
        <v>818</v>
      </c>
    </row>
    <row r="139" spans="3:4" ht="15.6" x14ac:dyDescent="0.3">
      <c r="C139" s="30" t="s">
        <v>804</v>
      </c>
      <c r="D139" s="28" t="s">
        <v>1033</v>
      </c>
    </row>
    <row r="140" spans="3:4" x14ac:dyDescent="0.25">
      <c r="C140" s="31" t="str">
        <f>IF('TABELA 1'!A98&gt;0,'TABELA 1'!A98,"")</f>
        <v>Na cidade</v>
      </c>
      <c r="D140" s="32">
        <f>IF('TABELA 1'!B98&gt;0,'TABELA 1'!B98,"")</f>
        <v>0.43333333333333335</v>
      </c>
    </row>
    <row r="141" spans="3:4" x14ac:dyDescent="0.25">
      <c r="C141" s="31" t="str">
        <f>IF('TABELA 1'!A99&gt;0,'TABELA 1'!A99,"")</f>
        <v>Na propriedade rural</v>
      </c>
      <c r="D141" s="32">
        <f>IF('TABELA 1'!B99&gt;0,'TABELA 1'!B99,"")</f>
        <v>0.56666666666666665</v>
      </c>
    </row>
    <row r="142" spans="3:4" ht="15.6" x14ac:dyDescent="0.3">
      <c r="C142" s="33" t="s">
        <v>805</v>
      </c>
      <c r="D142" s="34">
        <f>SUM(D140:D141)</f>
        <v>1</v>
      </c>
    </row>
    <row r="146" spans="3:4" ht="15.6" x14ac:dyDescent="0.3">
      <c r="C146" s="29" t="s">
        <v>819</v>
      </c>
    </row>
    <row r="147" spans="3:4" ht="15.6" x14ac:dyDescent="0.3">
      <c r="C147" s="30" t="s">
        <v>804</v>
      </c>
      <c r="D147" s="28" t="s">
        <v>1033</v>
      </c>
    </row>
    <row r="148" spans="3:4" x14ac:dyDescent="0.25">
      <c r="C148" s="35" t="s">
        <v>820</v>
      </c>
      <c r="D148" s="32">
        <f>IF('TABELA 1'!B107/100&gt;0,'TABELA 1'!B107/100,0)</f>
        <v>0.67366666666666664</v>
      </c>
    </row>
    <row r="149" spans="3:4" x14ac:dyDescent="0.25">
      <c r="C149" s="35" t="s">
        <v>821</v>
      </c>
      <c r="D149" s="32">
        <f>IF('TABELA 1'!B108/100&gt;0,'TABELA 1'!B108/100,0)</f>
        <v>0.25966666666666666</v>
      </c>
    </row>
    <row r="150" spans="3:4" x14ac:dyDescent="0.25">
      <c r="C150" s="35" t="s">
        <v>822</v>
      </c>
      <c r="D150" s="32">
        <f>IF('TABELA 1'!B109/100&gt;0,'TABELA 1'!B109/100,0)</f>
        <v>0</v>
      </c>
    </row>
    <row r="151" spans="3:4" x14ac:dyDescent="0.25">
      <c r="C151" s="35" t="s">
        <v>823</v>
      </c>
      <c r="D151" s="32">
        <f>IF('TABELA 1'!B110/100&gt;0,'TABELA 1'!B110/100,0)</f>
        <v>6.6666666666666666E-2</v>
      </c>
    </row>
    <row r="152" spans="3:4" x14ac:dyDescent="0.25">
      <c r="C152" s="35" t="s">
        <v>824</v>
      </c>
      <c r="D152" s="32">
        <f>IF('TABELA 1'!B111/100&gt;0,'TABELA 1'!B111/100,0)</f>
        <v>0</v>
      </c>
    </row>
    <row r="153" spans="3:4" x14ac:dyDescent="0.25">
      <c r="C153" s="35" t="s">
        <v>825</v>
      </c>
      <c r="D153" s="32">
        <f>IF('TABELA 1'!B112/100&gt;0,'TABELA 1'!B112/100,0)</f>
        <v>0</v>
      </c>
    </row>
    <row r="154" spans="3:4" ht="15.6" x14ac:dyDescent="0.3">
      <c r="C154" s="33" t="s">
        <v>805</v>
      </c>
      <c r="D154" s="34">
        <f>SUM(D148:D153)</f>
        <v>1</v>
      </c>
    </row>
    <row r="158" spans="3:4" ht="15.6" x14ac:dyDescent="0.3">
      <c r="C158" s="29" t="s">
        <v>827</v>
      </c>
    </row>
    <row r="159" spans="3:4" ht="15.6" x14ac:dyDescent="0.3">
      <c r="C159" s="30" t="s">
        <v>804</v>
      </c>
      <c r="D159" s="28" t="s">
        <v>1033</v>
      </c>
    </row>
    <row r="160" spans="3:4" x14ac:dyDescent="0.25">
      <c r="C160" s="35" t="s">
        <v>828</v>
      </c>
      <c r="D160" s="32">
        <f>IF('TABELA 1'!B119/100&gt;0,'TABELA 1'!B119/100,0)</f>
        <v>0.42678571428571432</v>
      </c>
    </row>
    <row r="161" spans="3:4" x14ac:dyDescent="0.25">
      <c r="C161" s="35" t="s">
        <v>829</v>
      </c>
      <c r="D161" s="32">
        <f>IF('TABELA 1'!B120/100&gt;0,'TABELA 1'!B120/100,0)</f>
        <v>0.46607142857142853</v>
      </c>
    </row>
    <row r="162" spans="3:4" x14ac:dyDescent="0.25">
      <c r="C162" s="35" t="s">
        <v>830</v>
      </c>
      <c r="D162" s="32">
        <f>IF('TABELA 1'!B121/100&gt;0,'TABELA 1'!B121/100,0)</f>
        <v>0</v>
      </c>
    </row>
    <row r="163" spans="3:4" x14ac:dyDescent="0.25">
      <c r="C163" s="35" t="s">
        <v>831</v>
      </c>
      <c r="D163" s="32">
        <f>IF('TABELA 1'!B122/100&gt;0,'TABELA 1'!B122/100,0)</f>
        <v>3.5714285714285719E-2</v>
      </c>
    </row>
    <row r="164" spans="3:4" x14ac:dyDescent="0.25">
      <c r="C164" s="35" t="s">
        <v>826</v>
      </c>
      <c r="D164" s="32">
        <f>IF('TABELA 1'!B123/100&gt;0,'TABELA 1'!B123/100,0)</f>
        <v>7.1428571428571438E-2</v>
      </c>
    </row>
    <row r="165" spans="3:4" ht="15.6" x14ac:dyDescent="0.3">
      <c r="C165" s="33" t="s">
        <v>805</v>
      </c>
      <c r="D165" s="34">
        <f>SUM(D160:D164)</f>
        <v>0.99999999999999989</v>
      </c>
    </row>
    <row r="169" spans="3:4" ht="15.6" x14ac:dyDescent="0.3">
      <c r="C169" s="29" t="s">
        <v>833</v>
      </c>
    </row>
    <row r="170" spans="3:4" ht="15.6" x14ac:dyDescent="0.3">
      <c r="C170" s="30" t="s">
        <v>804</v>
      </c>
      <c r="D170" s="28" t="s">
        <v>1033</v>
      </c>
    </row>
    <row r="171" spans="3:4" x14ac:dyDescent="0.25">
      <c r="C171" s="35" t="s">
        <v>834</v>
      </c>
      <c r="D171" s="32">
        <f>IF('TABELA 1'!B139/100&gt;0,'TABELA 1'!B139/100,0)</f>
        <v>0.71700000000000008</v>
      </c>
    </row>
    <row r="172" spans="3:4" x14ac:dyDescent="0.25">
      <c r="C172" s="35" t="s">
        <v>835</v>
      </c>
      <c r="D172" s="32">
        <f>IF('TABELA 1'!B140/100&gt;0,'TABELA 1'!B140/100,0)</f>
        <v>4.9000000000000002E-2</v>
      </c>
    </row>
    <row r="173" spans="3:4" x14ac:dyDescent="0.25">
      <c r="C173" s="35" t="s">
        <v>836</v>
      </c>
      <c r="D173" s="32">
        <f>IF('TABELA 1'!B141/100&gt;0,'TABELA 1'!B141/100,0)</f>
        <v>2.6000000000000002E-2</v>
      </c>
    </row>
    <row r="174" spans="3:4" x14ac:dyDescent="0.25">
      <c r="C174" s="35" t="s">
        <v>837</v>
      </c>
      <c r="D174" s="32">
        <f>IF('TABELA 1'!B142/100&gt;0,'TABELA 1'!B142/100,0)</f>
        <v>5.1333333333333335E-2</v>
      </c>
    </row>
    <row r="175" spans="3:4" x14ac:dyDescent="0.25">
      <c r="C175" s="35" t="s">
        <v>838</v>
      </c>
      <c r="D175" s="32">
        <f>IF('TABELA 1'!B143/100&gt;0,'TABELA 1'!B143/100,0)</f>
        <v>0.15666666666666665</v>
      </c>
    </row>
    <row r="176" spans="3:4" ht="15.6" x14ac:dyDescent="0.3">
      <c r="C176" s="33" t="s">
        <v>805</v>
      </c>
      <c r="D176" s="34">
        <f>SUM(D171:D175)</f>
        <v>1.0000000000000002</v>
      </c>
    </row>
    <row r="180" spans="3:4" ht="15.6" x14ac:dyDescent="0.3">
      <c r="C180" s="29" t="s">
        <v>839</v>
      </c>
    </row>
    <row r="181" spans="3:4" ht="15.6" x14ac:dyDescent="0.3">
      <c r="C181" s="30" t="s">
        <v>804</v>
      </c>
      <c r="D181" s="28" t="s">
        <v>1033</v>
      </c>
    </row>
    <row r="182" spans="3:4" x14ac:dyDescent="0.25">
      <c r="C182" s="35" t="s">
        <v>840</v>
      </c>
      <c r="D182" s="32">
        <f>IF('TABELA 1'!B150/100&gt;0,'TABELA 1'!B150/100,0)</f>
        <v>0.86893181818181819</v>
      </c>
    </row>
    <row r="183" spans="3:4" x14ac:dyDescent="0.25">
      <c r="C183" s="35" t="s">
        <v>841</v>
      </c>
      <c r="D183" s="32">
        <f>IF('TABELA 1'!B151/100&gt;0,'TABELA 1'!B151/100,0)</f>
        <v>0.12197727272727274</v>
      </c>
    </row>
    <row r="184" spans="3:4" x14ac:dyDescent="0.25">
      <c r="C184" s="35" t="s">
        <v>832</v>
      </c>
      <c r="D184" s="32">
        <f>IF('TABELA 1'!B152/100&gt;0,'TABELA 1'!B152/100,0)</f>
        <v>9.0909090909090905E-3</v>
      </c>
    </row>
    <row r="185" spans="3:4" ht="15.6" x14ac:dyDescent="0.3">
      <c r="C185" s="33" t="s">
        <v>805</v>
      </c>
      <c r="D185" s="34">
        <f>SUM(D182:D184)</f>
        <v>1</v>
      </c>
    </row>
    <row r="189" spans="3:4" ht="15.6" x14ac:dyDescent="0.3">
      <c r="C189" s="29" t="s">
        <v>811</v>
      </c>
    </row>
    <row r="190" spans="3:4" ht="15.6" x14ac:dyDescent="0.3">
      <c r="C190" s="30" t="s">
        <v>804</v>
      </c>
      <c r="D190" s="28" t="s">
        <v>1033</v>
      </c>
    </row>
    <row r="191" spans="3:4" x14ac:dyDescent="0.25">
      <c r="C191" s="35" t="s">
        <v>41</v>
      </c>
      <c r="D191" s="32">
        <f>IF('TABELA 1'!B603&gt;0,'TABELA 1'!B603,0)</f>
        <v>3.3333333333333333E-2</v>
      </c>
    </row>
    <row r="192" spans="3:4" x14ac:dyDescent="0.25">
      <c r="C192" s="35" t="s">
        <v>42</v>
      </c>
      <c r="D192" s="32">
        <f>IF('TABELA 1'!B604&gt;0,'TABELA 1'!B604,0)</f>
        <v>0.1</v>
      </c>
    </row>
    <row r="193" spans="3:4" x14ac:dyDescent="0.25">
      <c r="C193" s="35" t="s">
        <v>43</v>
      </c>
      <c r="D193" s="32">
        <f>IF('TABELA 1'!B605&gt;0,'TABELA 1'!B605,0)</f>
        <v>0.23333333333333334</v>
      </c>
    </row>
    <row r="194" spans="3:4" x14ac:dyDescent="0.25">
      <c r="C194" s="35" t="s">
        <v>44</v>
      </c>
      <c r="D194" s="32">
        <f>IF('TABELA 1'!B606&gt;0,'TABELA 1'!B606,0)</f>
        <v>0.16666666666666666</v>
      </c>
    </row>
    <row r="195" spans="3:4" x14ac:dyDescent="0.25">
      <c r="C195" s="35" t="s">
        <v>45</v>
      </c>
      <c r="D195" s="32">
        <f>IF('TABELA 1'!B607&gt;0,'TABELA 1'!B607,0)</f>
        <v>0</v>
      </c>
    </row>
    <row r="196" spans="3:4" x14ac:dyDescent="0.25">
      <c r="C196" s="35" t="s">
        <v>843</v>
      </c>
      <c r="D196" s="32">
        <f>IF('TABELA 1'!B608&gt;0,'TABELA 1'!B608,0)</f>
        <v>0</v>
      </c>
    </row>
    <row r="197" spans="3:4" x14ac:dyDescent="0.25">
      <c r="C197" s="35" t="s">
        <v>842</v>
      </c>
      <c r="D197" s="32">
        <f>IF('TABELA 1'!B609&gt;0,'TABELA 1'!B609,0)</f>
        <v>3.3333333333333333E-2</v>
      </c>
    </row>
    <row r="198" spans="3:4" x14ac:dyDescent="0.25">
      <c r="C198" s="35" t="s">
        <v>48</v>
      </c>
      <c r="D198" s="32">
        <f>IF('TABELA 1'!B610&gt;0,'TABELA 1'!B610,0)</f>
        <v>0</v>
      </c>
    </row>
    <row r="199" spans="3:4" x14ac:dyDescent="0.25">
      <c r="C199" s="35" t="s">
        <v>49</v>
      </c>
      <c r="D199" s="32">
        <f>IF('TABELA 1'!B611&gt;0,'TABELA 1'!B611,0)</f>
        <v>0</v>
      </c>
    </row>
    <row r="200" spans="3:4" x14ac:dyDescent="0.25">
      <c r="C200" s="36" t="s">
        <v>50</v>
      </c>
      <c r="D200" s="37">
        <f>IF('TABELA 1'!B612&gt;0,'TABELA 1'!B612,0)</f>
        <v>0.56666666666666665</v>
      </c>
    </row>
    <row r="204" spans="3:4" ht="15.6" x14ac:dyDescent="0.3">
      <c r="C204" s="51" t="s">
        <v>844</v>
      </c>
      <c r="D204" s="52"/>
    </row>
    <row r="208" spans="3:4" ht="15.6" x14ac:dyDescent="0.3">
      <c r="C208" s="29" t="s">
        <v>845</v>
      </c>
    </row>
    <row r="209" spans="3:4" ht="15.6" x14ac:dyDescent="0.3">
      <c r="C209" s="30" t="s">
        <v>804</v>
      </c>
      <c r="D209" s="28" t="s">
        <v>1033</v>
      </c>
    </row>
    <row r="210" spans="3:4" x14ac:dyDescent="0.25">
      <c r="C210" s="31" t="str">
        <f>IF('TABELA 1'!A159&gt;0,'TABELA 1'!A159,"")</f>
        <v>Muito bom</v>
      </c>
      <c r="D210" s="32">
        <f>IF('TABELA 1'!B159&gt;0,'TABELA 1'!B159,"")</f>
        <v>0.13333333333333333</v>
      </c>
    </row>
    <row r="211" spans="3:4" x14ac:dyDescent="0.25">
      <c r="C211" s="31" t="str">
        <f>IF('TABELA 1'!A160&gt;0,'TABELA 1'!A160,"")</f>
        <v>Bom</v>
      </c>
      <c r="D211" s="32">
        <f>IF('TABELA 1'!B160&gt;0,'TABELA 1'!B160,"")</f>
        <v>0.33333333333333331</v>
      </c>
    </row>
    <row r="212" spans="3:4" x14ac:dyDescent="0.25">
      <c r="C212" s="31" t="str">
        <f>IF('TABELA 1'!A161&gt;0,'TABELA 1'!A161,"")</f>
        <v>Regular</v>
      </c>
      <c r="D212" s="32">
        <f>IF('TABELA 1'!B161&gt;0,'TABELA 1'!B161,"")</f>
        <v>0.46666666666666667</v>
      </c>
    </row>
    <row r="213" spans="3:4" x14ac:dyDescent="0.25">
      <c r="C213" s="31" t="str">
        <f>IF('TABELA 1'!A162&gt;0,'TABELA 1'!A162,"")</f>
        <v>Ruim</v>
      </c>
      <c r="D213" s="32">
        <f>IF('TABELA 1'!B162&gt;0,'TABELA 1'!B162,"")</f>
        <v>6.6666666666666666E-2</v>
      </c>
    </row>
    <row r="214" spans="3:4" ht="15.6" x14ac:dyDescent="0.3">
      <c r="C214" s="33" t="s">
        <v>805</v>
      </c>
      <c r="D214" s="34">
        <f>SUM(D210:D213)</f>
        <v>1</v>
      </c>
    </row>
    <row r="218" spans="3:4" ht="15.6" x14ac:dyDescent="0.3">
      <c r="C218" s="29" t="s">
        <v>847</v>
      </c>
    </row>
    <row r="219" spans="3:4" ht="15.6" x14ac:dyDescent="0.3">
      <c r="C219" s="30" t="s">
        <v>804</v>
      </c>
      <c r="D219" s="28" t="s">
        <v>1033</v>
      </c>
    </row>
    <row r="220" spans="3:4" x14ac:dyDescent="0.25">
      <c r="C220" s="35" t="s">
        <v>54</v>
      </c>
      <c r="D220" s="32">
        <f>IF('TABELA 1'!B633&gt;0,'TABELA 1'!B633,0)</f>
        <v>0.66666666666666663</v>
      </c>
    </row>
    <row r="221" spans="3:4" x14ac:dyDescent="0.25">
      <c r="C221" s="35" t="s">
        <v>55</v>
      </c>
      <c r="D221" s="32">
        <f>IF('TABELA 1'!B634&gt;0,'TABELA 1'!B634,0)</f>
        <v>0.43333333333333335</v>
      </c>
    </row>
    <row r="222" spans="3:4" x14ac:dyDescent="0.25">
      <c r="C222" s="35" t="s">
        <v>56</v>
      </c>
      <c r="D222" s="32">
        <f>IF('TABELA 1'!B635&gt;0,'TABELA 1'!B635,0)</f>
        <v>0.46666666666666667</v>
      </c>
    </row>
    <row r="223" spans="3:4" x14ac:dyDescent="0.25">
      <c r="C223" s="35" t="s">
        <v>57</v>
      </c>
      <c r="D223" s="32">
        <f>IF('TABELA 1'!B636&gt;0,'TABELA 1'!B636,0)</f>
        <v>0.3</v>
      </c>
    </row>
    <row r="224" spans="3:4" x14ac:dyDescent="0.25">
      <c r="C224" s="35" t="s">
        <v>58</v>
      </c>
      <c r="D224" s="32">
        <f>IF('TABELA 1'!B637&gt;0,'TABELA 1'!B637,0)</f>
        <v>0.2</v>
      </c>
    </row>
    <row r="225" spans="3:4" x14ac:dyDescent="0.25">
      <c r="C225" s="35" t="s">
        <v>59</v>
      </c>
      <c r="D225" s="32">
        <f>IF('TABELA 1'!B638&gt;0,'TABELA 1'!B638,0)</f>
        <v>0.23333333333333334</v>
      </c>
    </row>
    <row r="226" spans="3:4" x14ac:dyDescent="0.25">
      <c r="C226" s="35" t="s">
        <v>60</v>
      </c>
      <c r="D226" s="32">
        <f>IF('TABELA 1'!B639&gt;0,'TABELA 1'!B639,0)</f>
        <v>0</v>
      </c>
    </row>
    <row r="227" spans="3:4" x14ac:dyDescent="0.25">
      <c r="C227" s="36" t="s">
        <v>61</v>
      </c>
      <c r="D227" s="37">
        <f>IF('TABELA 1'!B640&gt;0,'TABELA 1'!B640,0)</f>
        <v>3.3333333333333333E-2</v>
      </c>
    </row>
    <row r="231" spans="3:4" ht="15.6" x14ac:dyDescent="0.3">
      <c r="C231" s="29" t="s">
        <v>847</v>
      </c>
    </row>
    <row r="253" spans="3:4" ht="15.6" x14ac:dyDescent="0.3">
      <c r="C253" s="29" t="s">
        <v>1034</v>
      </c>
    </row>
    <row r="254" spans="3:4" ht="15.6" x14ac:dyDescent="0.3">
      <c r="C254" s="30" t="s">
        <v>804</v>
      </c>
      <c r="D254" s="28" t="s">
        <v>1033</v>
      </c>
    </row>
    <row r="255" spans="3:4" x14ac:dyDescent="0.25">
      <c r="C255" s="35" t="s">
        <v>64</v>
      </c>
      <c r="D255" s="32">
        <f>IF('TABELA 1'!B665&gt;0,'TABELA 1'!B665,0)</f>
        <v>0.56666666666666665</v>
      </c>
    </row>
    <row r="256" spans="3:4" x14ac:dyDescent="0.25">
      <c r="C256" s="35" t="s">
        <v>65</v>
      </c>
      <c r="D256" s="32">
        <f>IF('TABELA 1'!B666&gt;0,'TABELA 1'!B666,0)</f>
        <v>0.3</v>
      </c>
    </row>
    <row r="257" spans="3:4" x14ac:dyDescent="0.25">
      <c r="C257" s="35" t="s">
        <v>850</v>
      </c>
      <c r="D257" s="32">
        <f>IF('TABELA 1'!B667&gt;0,'TABELA 1'!B667,0)</f>
        <v>0.26666666666666666</v>
      </c>
    </row>
    <row r="258" spans="3:4" x14ac:dyDescent="0.25">
      <c r="C258" s="35" t="s">
        <v>848</v>
      </c>
      <c r="D258" s="32">
        <f>IF('TABELA 1'!B668&gt;0,'TABELA 1'!B668,0)</f>
        <v>0</v>
      </c>
    </row>
    <row r="259" spans="3:4" x14ac:dyDescent="0.25">
      <c r="C259" s="35" t="s">
        <v>68</v>
      </c>
      <c r="D259" s="32">
        <f>IF('TABELA 1'!B669&gt;0,'TABELA 1'!B669,0)</f>
        <v>3.3333333333333333E-2</v>
      </c>
    </row>
    <row r="260" spans="3:4" x14ac:dyDescent="0.25">
      <c r="C260" s="35" t="s">
        <v>69</v>
      </c>
      <c r="D260" s="32">
        <f>IF('TABELA 1'!B670&gt;0,'TABELA 1'!B670,0)</f>
        <v>0.43333333333333335</v>
      </c>
    </row>
    <row r="261" spans="3:4" x14ac:dyDescent="0.25">
      <c r="C261" s="35" t="s">
        <v>71</v>
      </c>
      <c r="D261" s="32">
        <f>IF('TABELA 1'!B671&gt;0,'TABELA 1'!B671,0)</f>
        <v>6.6666666666666666E-2</v>
      </c>
    </row>
    <row r="262" spans="3:4" x14ac:dyDescent="0.25">
      <c r="C262" s="35" t="s">
        <v>849</v>
      </c>
      <c r="D262" s="32">
        <f>IF('TABELA 1'!B672&gt;0,'TABELA 1'!B672,0)</f>
        <v>0.26666666666666666</v>
      </c>
    </row>
    <row r="263" spans="3:4" x14ac:dyDescent="0.25">
      <c r="C263" s="35" t="s">
        <v>72</v>
      </c>
      <c r="D263" s="32">
        <f>IF('TABELA 1'!B673&gt;0,'TABELA 1'!B673,0)</f>
        <v>6.6666666666666666E-2</v>
      </c>
    </row>
    <row r="264" spans="3:4" x14ac:dyDescent="0.25">
      <c r="C264" s="35" t="s">
        <v>73</v>
      </c>
      <c r="D264" s="32">
        <f>IF('TABELA 1'!B674&gt;0,'TABELA 1'!B674,0)</f>
        <v>3.3333333333333333E-2</v>
      </c>
    </row>
    <row r="265" spans="3:4" x14ac:dyDescent="0.25">
      <c r="C265" s="35" t="s">
        <v>74</v>
      </c>
      <c r="D265" s="32">
        <f>IF('TABELA 1'!B675&gt;0,'TABELA 1'!B675,0)</f>
        <v>3.3333333333333333E-2</v>
      </c>
    </row>
    <row r="266" spans="3:4" x14ac:dyDescent="0.25">
      <c r="C266" s="36" t="s">
        <v>62</v>
      </c>
      <c r="D266" s="37">
        <f>IF('TABELA 1'!B676&gt;0,'TABELA 1'!B676,0)</f>
        <v>3.3333333333333333E-2</v>
      </c>
    </row>
    <row r="270" spans="3:4" ht="15.6" x14ac:dyDescent="0.3">
      <c r="C270" s="29" t="s">
        <v>1039</v>
      </c>
    </row>
    <row r="271" spans="3:4" ht="15.6" x14ac:dyDescent="0.3">
      <c r="C271" s="30" t="s">
        <v>804</v>
      </c>
      <c r="D271" s="28" t="s">
        <v>1033</v>
      </c>
    </row>
    <row r="272" spans="3:4" x14ac:dyDescent="0.25">
      <c r="C272" s="35" t="s">
        <v>76</v>
      </c>
      <c r="D272" s="32">
        <f>IF('TABELA 1'!B697&gt;0,'TABELA 1'!B697,0)</f>
        <v>0.3</v>
      </c>
    </row>
    <row r="273" spans="3:4" x14ac:dyDescent="0.25">
      <c r="C273" s="35" t="s">
        <v>77</v>
      </c>
      <c r="D273" s="32">
        <f>IF('TABELA 1'!B698&gt;0,'TABELA 1'!B698,0)</f>
        <v>0.33333333333333331</v>
      </c>
    </row>
    <row r="274" spans="3:4" x14ac:dyDescent="0.25">
      <c r="C274" s="35" t="s">
        <v>78</v>
      </c>
      <c r="D274" s="32">
        <f>IF('TABELA 1'!B699&gt;0,'TABELA 1'!B699,0)</f>
        <v>0.6</v>
      </c>
    </row>
    <row r="275" spans="3:4" x14ac:dyDescent="0.25">
      <c r="C275" s="35" t="s">
        <v>79</v>
      </c>
      <c r="D275" s="32">
        <f>IF('TABELA 1'!B700&gt;0,'TABELA 1'!B700,0)</f>
        <v>0.5</v>
      </c>
    </row>
    <row r="276" spans="3:4" x14ac:dyDescent="0.25">
      <c r="C276" s="35" t="s">
        <v>80</v>
      </c>
      <c r="D276" s="32">
        <f>IF('TABELA 1'!B701&gt;0,'TABELA 1'!B701,0)</f>
        <v>0.26666666666666666</v>
      </c>
    </row>
    <row r="277" spans="3:4" x14ac:dyDescent="0.25">
      <c r="C277" s="35" t="s">
        <v>81</v>
      </c>
      <c r="D277" s="32">
        <f>IF('TABELA 1'!B702&gt;0,'TABELA 1'!B702,0)</f>
        <v>0.36666666666666664</v>
      </c>
    </row>
    <row r="278" spans="3:4" x14ac:dyDescent="0.25">
      <c r="C278" s="35" t="s">
        <v>82</v>
      </c>
      <c r="D278" s="32">
        <f>IF('TABELA 1'!B703&gt;0,'TABELA 1'!B703,0)</f>
        <v>0.33333333333333331</v>
      </c>
    </row>
    <row r="279" spans="3:4" x14ac:dyDescent="0.25">
      <c r="C279" s="36" t="s">
        <v>83</v>
      </c>
      <c r="D279" s="37">
        <f>IF('TABELA 1'!B704&gt;0,'TABELA 1'!B704,0)</f>
        <v>0.13333333333333333</v>
      </c>
    </row>
    <row r="283" spans="3:4" ht="15.6" x14ac:dyDescent="0.3">
      <c r="C283" s="29" t="s">
        <v>1039</v>
      </c>
    </row>
    <row r="305" spans="3:4" ht="15.6" x14ac:dyDescent="0.3">
      <c r="C305" s="29" t="s">
        <v>851</v>
      </c>
    </row>
    <row r="306" spans="3:4" ht="15.6" x14ac:dyDescent="0.3">
      <c r="C306" s="30" t="s">
        <v>804</v>
      </c>
      <c r="D306" s="28" t="s">
        <v>1033</v>
      </c>
    </row>
    <row r="307" spans="3:4" x14ac:dyDescent="0.25">
      <c r="C307" s="31" t="str">
        <f>IF('TABELA 1'!A179&gt;0,'TABELA 1'!A179,"")</f>
        <v>Aumentar a produção</v>
      </c>
      <c r="D307" s="32">
        <f>IF('TABELA 1'!B179&gt;0,'TABELA 1'!B179,"")</f>
        <v>0.76666666666666672</v>
      </c>
    </row>
    <row r="308" spans="3:4" x14ac:dyDescent="0.25">
      <c r="C308" s="31" t="str">
        <f>IF('TABELA 1'!A180&gt;0,'TABELA 1'!A180,"")</f>
        <v>Continuar como está</v>
      </c>
      <c r="D308" s="32">
        <f>IF('TABELA 1'!B180&gt;0,'TABELA 1'!B180,"")</f>
        <v>0.16666666666666666</v>
      </c>
    </row>
    <row r="309" spans="3:4" x14ac:dyDescent="0.25">
      <c r="C309" s="31" t="str">
        <f>IF('TABELA 1'!A181&gt;0,'TABELA 1'!A181,"")</f>
        <v>Não sabe</v>
      </c>
      <c r="D309" s="32">
        <f>IF('TABELA 1'!B181&gt;0,'TABELA 1'!B181,"")</f>
        <v>6.6666666666666666E-2</v>
      </c>
    </row>
    <row r="310" spans="3:4" ht="15.6" x14ac:dyDescent="0.3">
      <c r="C310" s="33" t="s">
        <v>805</v>
      </c>
      <c r="D310" s="34">
        <f>SUM(D307:D309)</f>
        <v>1</v>
      </c>
    </row>
    <row r="314" spans="3:4" ht="15.6" x14ac:dyDescent="0.3">
      <c r="C314" s="29" t="s">
        <v>851</v>
      </c>
    </row>
    <row r="336" spans="3:3" ht="15.6" x14ac:dyDescent="0.3">
      <c r="C336" s="29" t="s">
        <v>852</v>
      </c>
    </row>
    <row r="337" spans="3:4" ht="15.6" x14ac:dyDescent="0.3">
      <c r="C337" s="30" t="s">
        <v>804</v>
      </c>
      <c r="D337" s="28" t="s">
        <v>1033</v>
      </c>
    </row>
    <row r="338" spans="3:4" x14ac:dyDescent="0.25">
      <c r="C338" s="31" t="str">
        <f>IF('TABELA 1'!A189&gt;0,'TABELA 1'!A189,"")</f>
        <v>Filhos continuarão com a produção de leite</v>
      </c>
      <c r="D338" s="32">
        <f>IF('TABELA 1'!B189&gt;0,'TABELA 1'!B189,"")</f>
        <v>0.46666666666666667</v>
      </c>
    </row>
    <row r="339" spans="3:4" x14ac:dyDescent="0.25">
      <c r="C339" s="31" t="str">
        <f>IF('TABELA 1'!A190&gt;0,'TABELA 1'!A190,"")</f>
        <v>Filhos trocarão de atividade rural</v>
      </c>
      <c r="D339" s="32">
        <f>IF('TABELA 1'!B190&gt;0,'TABELA 1'!B190,"")</f>
        <v>3.3333333333333333E-2</v>
      </c>
    </row>
    <row r="340" spans="3:4" x14ac:dyDescent="0.25">
      <c r="C340" s="31" t="str">
        <f>IF('TABELA 1'!A191&gt;0,'TABELA 1'!A191,"")</f>
        <v>Filhos deixarão o meio rural</v>
      </c>
      <c r="D340" s="32">
        <f>IF('TABELA 1'!B191&gt;0,'TABELA 1'!B191,"")</f>
        <v>0.13333333333333333</v>
      </c>
    </row>
    <row r="341" spans="3:4" x14ac:dyDescent="0.25">
      <c r="C341" s="31" t="str">
        <f>IF('TABELA 1'!A192&gt;0,'TABELA 1'!A192,"")</f>
        <v>Propriedade será vendida</v>
      </c>
      <c r="D341" s="32">
        <f>IF('TABELA 1'!B192&gt;0,'TABELA 1'!B192,"")</f>
        <v>3.3333333333333333E-2</v>
      </c>
    </row>
    <row r="342" spans="3:4" x14ac:dyDescent="0.25">
      <c r="C342" s="31" t="str">
        <f>IF('TABELA 1'!A193&gt;0,'TABELA 1'!A193,"")</f>
        <v>Não sabe</v>
      </c>
      <c r="D342" s="32">
        <f>IF('TABELA 1'!B193&gt;0,'TABELA 1'!B193,"")</f>
        <v>0.33333333333333331</v>
      </c>
    </row>
    <row r="343" spans="3:4" ht="15.6" x14ac:dyDescent="0.3">
      <c r="C343" s="33" t="s">
        <v>805</v>
      </c>
      <c r="D343" s="34">
        <f>SUM(D338:D342)</f>
        <v>1</v>
      </c>
    </row>
    <row r="347" spans="3:4" ht="15.6" x14ac:dyDescent="0.3">
      <c r="C347" s="29" t="s">
        <v>852</v>
      </c>
    </row>
    <row r="369" spans="3:4" ht="15.6" x14ac:dyDescent="0.3">
      <c r="C369" s="51" t="s">
        <v>853</v>
      </c>
      <c r="D369" s="52"/>
    </row>
    <row r="373" spans="3:4" ht="15.6" x14ac:dyDescent="0.3">
      <c r="C373" s="29" t="s">
        <v>854</v>
      </c>
    </row>
    <row r="374" spans="3:4" ht="15.6" x14ac:dyDescent="0.3">
      <c r="C374" s="30" t="s">
        <v>804</v>
      </c>
      <c r="D374" s="28" t="s">
        <v>1033</v>
      </c>
    </row>
    <row r="375" spans="3:4" x14ac:dyDescent="0.25">
      <c r="C375" s="31" t="str">
        <f>IF('TABELA 1'!A201&gt;0,'TABELA 1'!A201,"")</f>
        <v>Sim</v>
      </c>
      <c r="D375" s="32">
        <f>IF('TABELA 1'!B201&gt;0,'TABELA 1'!B201,"")</f>
        <v>0.56666666666666665</v>
      </c>
    </row>
    <row r="376" spans="3:4" x14ac:dyDescent="0.25">
      <c r="C376" s="31" t="str">
        <f>IF('TABELA 1'!A202&gt;0,'TABELA 1'!A202,"")</f>
        <v>Não</v>
      </c>
      <c r="D376" s="32">
        <f>IF('TABELA 1'!B202&gt;0,'TABELA 1'!B202,"")</f>
        <v>0.43333333333333335</v>
      </c>
    </row>
    <row r="377" spans="3:4" ht="15.6" x14ac:dyDescent="0.3">
      <c r="C377" s="33" t="s">
        <v>805</v>
      </c>
      <c r="D377" s="34">
        <f>SUM(D375:D376)</f>
        <v>1</v>
      </c>
    </row>
    <row r="381" spans="3:4" ht="15.6" x14ac:dyDescent="0.3">
      <c r="C381" s="29" t="s">
        <v>856</v>
      </c>
    </row>
    <row r="382" spans="3:4" ht="15.6" x14ac:dyDescent="0.3">
      <c r="C382" s="30" t="s">
        <v>804</v>
      </c>
      <c r="D382" s="28" t="s">
        <v>1033</v>
      </c>
    </row>
    <row r="383" spans="3:4" x14ac:dyDescent="0.25">
      <c r="C383" s="35" t="s">
        <v>43</v>
      </c>
      <c r="D383" s="32">
        <f>IF('TABELA 1'!B723&gt;0,'TABELA 1'!B723,0)</f>
        <v>0.16666666666666666</v>
      </c>
    </row>
    <row r="384" spans="3:4" x14ac:dyDescent="0.25">
      <c r="C384" s="35" t="s">
        <v>44</v>
      </c>
      <c r="D384" s="32">
        <f>IF('TABELA 1'!B724&gt;0,'TABELA 1'!B724,0)</f>
        <v>0.33333333333333331</v>
      </c>
    </row>
    <row r="385" spans="3:4" x14ac:dyDescent="0.25">
      <c r="C385" s="35" t="s">
        <v>89</v>
      </c>
      <c r="D385" s="32">
        <f>IF('TABELA 1'!B725&gt;0,'TABELA 1'!B725,0)</f>
        <v>6.6666666666666666E-2</v>
      </c>
    </row>
    <row r="386" spans="3:4" x14ac:dyDescent="0.25">
      <c r="C386" s="35" t="s">
        <v>90</v>
      </c>
      <c r="D386" s="32">
        <f>IF('TABELA 1'!B726&gt;0,'TABELA 1'!B726,0)</f>
        <v>0.1</v>
      </c>
    </row>
    <row r="387" spans="3:4" x14ac:dyDescent="0.25">
      <c r="C387" s="36" t="s">
        <v>92</v>
      </c>
      <c r="D387" s="37">
        <f>IF('TABELA 1'!B727&gt;0,'TABELA 1'!B727,0)</f>
        <v>0.4</v>
      </c>
    </row>
    <row r="412" spans="3:4" ht="15.6" x14ac:dyDescent="0.3">
      <c r="C412" s="51" t="s">
        <v>857</v>
      </c>
      <c r="D412" s="52"/>
    </row>
    <row r="416" spans="3:4" ht="15.6" x14ac:dyDescent="0.3">
      <c r="C416" s="29" t="s">
        <v>176</v>
      </c>
    </row>
    <row r="417" spans="3:4" ht="15.6" x14ac:dyDescent="0.3">
      <c r="C417" s="30" t="s">
        <v>804</v>
      </c>
      <c r="D417" s="28" t="s">
        <v>1033</v>
      </c>
    </row>
    <row r="418" spans="3:4" x14ac:dyDescent="0.25">
      <c r="C418" s="35" t="s">
        <v>878</v>
      </c>
      <c r="D418" s="40">
        <f>IF('TABELA 1'!B210&gt;0,'TABELA 1'!B210,"")</f>
        <v>1597.3611111111109</v>
      </c>
    </row>
    <row r="419" spans="3:4" x14ac:dyDescent="0.25">
      <c r="C419" s="35" t="s">
        <v>879</v>
      </c>
      <c r="D419" s="40">
        <f>IF('TABELA 1'!B211&gt;0,'TABELA 1'!B211,"")</f>
        <v>1526.6666666666667</v>
      </c>
    </row>
    <row r="420" spans="3:4" x14ac:dyDescent="0.25">
      <c r="C420" s="36" t="s">
        <v>880</v>
      </c>
      <c r="D420" s="41">
        <f>IF('TABELA 1'!B212&gt;0,'TABELA 1'!B212,"")</f>
        <v>1660.3333333333333</v>
      </c>
    </row>
    <row r="424" spans="3:4" ht="15.6" x14ac:dyDescent="0.3">
      <c r="C424" s="29" t="s">
        <v>858</v>
      </c>
    </row>
    <row r="425" spans="3:4" ht="15.6" x14ac:dyDescent="0.3">
      <c r="C425" s="30" t="s">
        <v>804</v>
      </c>
      <c r="D425" s="28" t="s">
        <v>1033</v>
      </c>
    </row>
    <row r="426" spans="3:4" x14ac:dyDescent="0.25">
      <c r="C426" s="35" t="s">
        <v>859</v>
      </c>
      <c r="D426" s="40">
        <f>IF('TABELA 1'!B239&gt;0,'TABELA 1'!B239,0)</f>
        <v>81.814285714285717</v>
      </c>
    </row>
    <row r="427" spans="3:4" x14ac:dyDescent="0.25">
      <c r="C427" s="36" t="s">
        <v>860</v>
      </c>
      <c r="D427" s="41">
        <f>IF('TABELA 1'!B240&gt;0,'TABELA 1'!B240,0)</f>
        <v>44.419000000000004</v>
      </c>
    </row>
    <row r="431" spans="3:4" ht="15.6" x14ac:dyDescent="0.3">
      <c r="C431" s="29" t="s">
        <v>861</v>
      </c>
    </row>
    <row r="432" spans="3:4" ht="15.6" x14ac:dyDescent="0.3">
      <c r="C432" s="30" t="s">
        <v>804</v>
      </c>
      <c r="D432" s="28" t="s">
        <v>1033</v>
      </c>
    </row>
    <row r="433" spans="3:4" x14ac:dyDescent="0.25">
      <c r="C433" s="35" t="s">
        <v>862</v>
      </c>
      <c r="D433" s="40">
        <f>IF('TABELA 1'!B274&gt;0,'TABELA 1'!B274,0)</f>
        <v>1.3318812785388128</v>
      </c>
    </row>
    <row r="434" spans="3:4" x14ac:dyDescent="0.25">
      <c r="C434" s="35" t="s">
        <v>863</v>
      </c>
      <c r="D434" s="40">
        <f>IF('TABELA 1'!B275&gt;0,'TABELA 1'!B275,0)</f>
        <v>3.7888127853881275</v>
      </c>
    </row>
    <row r="435" spans="3:4" ht="15.6" x14ac:dyDescent="0.3">
      <c r="C435" s="33" t="s">
        <v>805</v>
      </c>
      <c r="D435" s="42">
        <f>SUM(D433:D434)</f>
        <v>5.1206940639269405</v>
      </c>
    </row>
    <row r="439" spans="3:4" ht="15.6" x14ac:dyDescent="0.3">
      <c r="C439" s="29" t="s">
        <v>873</v>
      </c>
    </row>
    <row r="440" spans="3:4" ht="15.6" x14ac:dyDescent="0.3">
      <c r="C440" s="30" t="s">
        <v>804</v>
      </c>
      <c r="D440" s="28" t="s">
        <v>1033</v>
      </c>
    </row>
    <row r="441" spans="3:4" x14ac:dyDescent="0.25">
      <c r="C441" s="35" t="s">
        <v>864</v>
      </c>
      <c r="D441" s="40">
        <f>IF('TABELA 1'!B283&gt;0,'TABELA 1'!B283,0)</f>
        <v>67.13333333333334</v>
      </c>
    </row>
    <row r="442" spans="3:4" x14ac:dyDescent="0.25">
      <c r="C442" s="35" t="s">
        <v>865</v>
      </c>
      <c r="D442" s="40">
        <f>IF('TABELA 1'!B284&gt;0,'TABELA 1'!B284,0)</f>
        <v>14.866666666666667</v>
      </c>
    </row>
    <row r="443" spans="3:4" x14ac:dyDescent="0.25">
      <c r="C443" s="35" t="s">
        <v>866</v>
      </c>
      <c r="D443" s="40">
        <f>IF('TABELA 1'!B285&gt;0,'TABELA 1'!B285,0)</f>
        <v>10.866666666666667</v>
      </c>
    </row>
    <row r="444" spans="3:4" x14ac:dyDescent="0.25">
      <c r="C444" s="35" t="s">
        <v>867</v>
      </c>
      <c r="D444" s="40">
        <f>IF('TABELA 1'!B286&gt;0,'TABELA 1'!B286,0)</f>
        <v>2.7</v>
      </c>
    </row>
    <row r="445" spans="3:4" x14ac:dyDescent="0.25">
      <c r="C445" s="35" t="s">
        <v>868</v>
      </c>
      <c r="D445" s="40">
        <f>IF('TABELA 1'!B287&gt;0,'TABELA 1'!B287,0)</f>
        <v>32.4</v>
      </c>
    </row>
    <row r="446" spans="3:4" x14ac:dyDescent="0.25">
      <c r="C446" s="35" t="s">
        <v>869</v>
      </c>
      <c r="D446" s="40">
        <f>IF('TABELA 1'!B288&gt;0,'TABELA 1'!B288,0)</f>
        <v>26.8</v>
      </c>
    </row>
    <row r="447" spans="3:4" x14ac:dyDescent="0.25">
      <c r="C447" s="35" t="s">
        <v>870</v>
      </c>
      <c r="D447" s="40">
        <f>IF('TABELA 1'!B289&gt;0,'TABELA 1'!B289,0)</f>
        <v>1.1000000000000001</v>
      </c>
    </row>
    <row r="448" spans="3:4" x14ac:dyDescent="0.25">
      <c r="C448" s="35" t="s">
        <v>871</v>
      </c>
      <c r="D448" s="40">
        <f>IF('TABELA 1'!B290&gt;0,'TABELA 1'!B290,0)</f>
        <v>0.96666666666666667</v>
      </c>
    </row>
    <row r="449" spans="3:4" x14ac:dyDescent="0.25">
      <c r="C449" s="35" t="s">
        <v>872</v>
      </c>
      <c r="D449" s="40">
        <f>IF('TABELA 1'!B291&gt;0,'TABELA 1'!B291,0)</f>
        <v>1.1000000000000001</v>
      </c>
    </row>
    <row r="450" spans="3:4" ht="15.6" x14ac:dyDescent="0.3">
      <c r="C450" s="33" t="s">
        <v>805</v>
      </c>
      <c r="D450" s="42">
        <f>SUM(D441:D449)</f>
        <v>157.93333333333334</v>
      </c>
    </row>
    <row r="454" spans="3:4" ht="15.6" x14ac:dyDescent="0.3">
      <c r="C454" s="29" t="s">
        <v>874</v>
      </c>
    </row>
    <row r="455" spans="3:4" ht="15.6" x14ac:dyDescent="0.3">
      <c r="C455" s="30" t="s">
        <v>804</v>
      </c>
      <c r="D455" s="28" t="s">
        <v>1033</v>
      </c>
    </row>
    <row r="456" spans="3:4" x14ac:dyDescent="0.25">
      <c r="C456" s="35" t="s">
        <v>875</v>
      </c>
      <c r="D456" s="40">
        <f>IF(D418/D441&gt;0,D418/D441,"")</f>
        <v>23.793859649122801</v>
      </c>
    </row>
    <row r="457" spans="3:4" x14ac:dyDescent="0.25">
      <c r="C457" s="35" t="s">
        <v>876</v>
      </c>
      <c r="D457" s="40">
        <f>IF((D418*365)/D427&gt;0,(D418*365)/D427,"")</f>
        <v>13125.842669928532</v>
      </c>
    </row>
    <row r="458" spans="3:4" x14ac:dyDescent="0.25">
      <c r="C458" s="36" t="s">
        <v>877</v>
      </c>
      <c r="D458" s="41">
        <f>IF(D418/D435&gt;0,D418/D435,"")</f>
        <v>311.94230531439558</v>
      </c>
    </row>
    <row r="462" spans="3:4" ht="15.6" x14ac:dyDescent="0.3">
      <c r="C462" s="51" t="s">
        <v>881</v>
      </c>
      <c r="D462" s="52"/>
    </row>
    <row r="466" spans="3:4" ht="15.6" x14ac:dyDescent="0.3">
      <c r="C466" s="29" t="s">
        <v>886</v>
      </c>
    </row>
    <row r="467" spans="3:4" ht="15.6" x14ac:dyDescent="0.3">
      <c r="C467" s="30" t="s">
        <v>804</v>
      </c>
      <c r="D467" s="28" t="s">
        <v>1033</v>
      </c>
    </row>
    <row r="468" spans="3:4" x14ac:dyDescent="0.25">
      <c r="C468" s="31" t="str">
        <f>IF('TABELA 1'!A326&gt;0,'TABELA 1'!A326,"")</f>
        <v>Tanque de expansão</v>
      </c>
      <c r="D468" s="32">
        <f>IF('TABELA 1'!B326&gt;0,'TABELA 1'!B326,"")</f>
        <v>0.96666666666666667</v>
      </c>
    </row>
    <row r="469" spans="3:4" x14ac:dyDescent="0.25">
      <c r="C469" s="31" t="str">
        <f>IF('TABELA 1'!A327&gt;0,'TABELA 1'!A327,"")</f>
        <v>Leite não é resfriado na fazenda</v>
      </c>
      <c r="D469" s="32">
        <f>IF('TABELA 1'!B327&gt;0,'TABELA 1'!B327,"")</f>
        <v>3.3333333333333333E-2</v>
      </c>
    </row>
    <row r="470" spans="3:4" ht="15.6" x14ac:dyDescent="0.3">
      <c r="C470" s="33" t="s">
        <v>805</v>
      </c>
      <c r="D470" s="34">
        <f>SUM(D461:D469)</f>
        <v>1</v>
      </c>
    </row>
    <row r="474" spans="3:4" ht="15.6" x14ac:dyDescent="0.3">
      <c r="C474" s="29" t="s">
        <v>887</v>
      </c>
    </row>
    <row r="475" spans="3:4" ht="15.6" x14ac:dyDescent="0.3">
      <c r="C475" s="30" t="s">
        <v>804</v>
      </c>
      <c r="D475" s="28" t="s">
        <v>1033</v>
      </c>
    </row>
    <row r="476" spans="3:4" x14ac:dyDescent="0.25">
      <c r="C476" s="35" t="s">
        <v>888</v>
      </c>
      <c r="D476" s="32">
        <f>IF('TABELA 1'!B335&gt;0,'TABELA 1'!B335,"")</f>
        <v>0.96666666666666667</v>
      </c>
    </row>
    <row r="477" spans="3:4" x14ac:dyDescent="0.25">
      <c r="C477" s="35" t="s">
        <v>889</v>
      </c>
      <c r="D477" s="32">
        <f>IF('TABELA 1'!B352&gt;0,'TABELA 1'!B352,"")</f>
        <v>1</v>
      </c>
    </row>
    <row r="478" spans="3:4" x14ac:dyDescent="0.25">
      <c r="C478" s="35" t="s">
        <v>890</v>
      </c>
      <c r="D478" s="32">
        <f>IF('TABELA 1'!B344&gt;0,'TABELA 1'!B344,"")</f>
        <v>1</v>
      </c>
    </row>
    <row r="479" spans="3:4" x14ac:dyDescent="0.25">
      <c r="C479" s="36" t="s">
        <v>891</v>
      </c>
      <c r="D479" s="37">
        <f>IF('TABELA 1'!B360&gt;0,'TABELA 1'!B360,"")</f>
        <v>1</v>
      </c>
    </row>
    <row r="483" spans="3:4" ht="15.6" x14ac:dyDescent="0.3">
      <c r="C483" s="29" t="s">
        <v>895</v>
      </c>
    </row>
    <row r="484" spans="3:4" ht="15.6" x14ac:dyDescent="0.3">
      <c r="C484" s="30" t="s">
        <v>804</v>
      </c>
      <c r="D484" s="28" t="s">
        <v>1033</v>
      </c>
    </row>
    <row r="485" spans="3:4" x14ac:dyDescent="0.25">
      <c r="C485" s="35" t="s">
        <v>1035</v>
      </c>
      <c r="D485" s="32">
        <f>IF('TABELA 1'!B377&gt;0,'TABELA 1'!B377,"")</f>
        <v>1</v>
      </c>
    </row>
    <row r="486" spans="3:4" x14ac:dyDescent="0.25">
      <c r="C486" s="35" t="s">
        <v>896</v>
      </c>
      <c r="D486" s="38">
        <f>IF('TABELA 1'!B385&gt;0,'TABELA 1'!B385,"")</f>
        <v>2.0666666666666669</v>
      </c>
    </row>
    <row r="487" spans="3:4" x14ac:dyDescent="0.25">
      <c r="C487" s="36" t="s">
        <v>897</v>
      </c>
      <c r="D487" s="39">
        <f>IF('TABELA 1'!B386&gt;0,'TABELA 1'!B386,"")</f>
        <v>2.0666666666666669</v>
      </c>
    </row>
    <row r="491" spans="3:4" ht="15.6" x14ac:dyDescent="0.3">
      <c r="C491" s="29" t="s">
        <v>898</v>
      </c>
    </row>
    <row r="492" spans="3:4" ht="15.6" x14ac:dyDescent="0.3">
      <c r="C492" s="30" t="s">
        <v>804</v>
      </c>
      <c r="D492" s="28" t="s">
        <v>1033</v>
      </c>
    </row>
    <row r="493" spans="3:4" x14ac:dyDescent="0.25">
      <c r="C493" s="31" t="str">
        <f>IF('TABELA 1'!A393&gt;0,'TABELA 1'!A393,"")</f>
        <v>Plantada</v>
      </c>
      <c r="D493" s="32">
        <f>IF('TABELA 1'!B393&gt;0,'TABELA 1'!B393,"")</f>
        <v>0.6</v>
      </c>
    </row>
    <row r="494" spans="3:4" x14ac:dyDescent="0.25">
      <c r="C494" s="31" t="str">
        <f>IF('TABELA 1'!A394&gt;0,'TABELA 1'!A394,"")</f>
        <v>Mista</v>
      </c>
      <c r="D494" s="32">
        <f>IF('TABELA 1'!B394&gt;0,'TABELA 1'!B394,"")</f>
        <v>0.26666666666666666</v>
      </c>
    </row>
    <row r="495" spans="3:4" x14ac:dyDescent="0.25">
      <c r="C495" s="31" t="str">
        <f>IF('TABELA 1'!A395&gt;0,'TABELA 1'!A395,"")</f>
        <v>Não tem pastagem</v>
      </c>
      <c r="D495" s="32">
        <f>IF('TABELA 1'!B395&gt;0,'TABELA 1'!B395,"")</f>
        <v>0.13333333333333333</v>
      </c>
    </row>
    <row r="496" spans="3:4" ht="15.6" x14ac:dyDescent="0.3">
      <c r="C496" s="33" t="s">
        <v>805</v>
      </c>
      <c r="D496" s="34">
        <f>SUM(D493:D495)</f>
        <v>1</v>
      </c>
    </row>
    <row r="500" spans="3:4" ht="15.6" x14ac:dyDescent="0.3">
      <c r="C500" s="29" t="s">
        <v>899</v>
      </c>
    </row>
    <row r="501" spans="3:4" ht="15.6" x14ac:dyDescent="0.3">
      <c r="C501" s="30" t="s">
        <v>804</v>
      </c>
      <c r="D501" s="28" t="s">
        <v>1033</v>
      </c>
    </row>
    <row r="502" spans="3:4" x14ac:dyDescent="0.25">
      <c r="C502" s="35" t="s">
        <v>156</v>
      </c>
      <c r="D502" s="32">
        <f>IF('TABELA 1'!B744&gt;0,'TABELA 1'!B744,0)</f>
        <v>0.83333333333333337</v>
      </c>
    </row>
    <row r="503" spans="3:4" x14ac:dyDescent="0.25">
      <c r="C503" s="35" t="s">
        <v>157</v>
      </c>
      <c r="D503" s="32">
        <f>IF('TABELA 1'!B745&gt;0,'TABELA 1'!B745,0)</f>
        <v>0.16666666666666666</v>
      </c>
    </row>
    <row r="504" spans="3:4" x14ac:dyDescent="0.25">
      <c r="C504" s="35" t="s">
        <v>158</v>
      </c>
      <c r="D504" s="32">
        <f>IF('TABELA 1'!B746&gt;0,'TABELA 1'!B746,0)</f>
        <v>0.16666666666666666</v>
      </c>
    </row>
    <row r="505" spans="3:4" x14ac:dyDescent="0.25">
      <c r="C505" s="35" t="s">
        <v>162</v>
      </c>
      <c r="D505" s="32">
        <f>IF('TABELA 1'!B747&gt;0,'TABELA 1'!B747,0)</f>
        <v>0.1</v>
      </c>
    </row>
    <row r="506" spans="3:4" x14ac:dyDescent="0.25">
      <c r="C506" s="36" t="s">
        <v>163</v>
      </c>
      <c r="D506" s="37">
        <f>IF('TABELA 1'!B748&gt;0,'TABELA 1'!B748,0)</f>
        <v>0.23333333333333334</v>
      </c>
    </row>
    <row r="510" spans="3:4" ht="15.6" x14ac:dyDescent="0.3">
      <c r="C510" s="29" t="s">
        <v>899</v>
      </c>
    </row>
    <row r="532" spans="3:4" ht="15.6" x14ac:dyDescent="0.3">
      <c r="C532" s="29" t="s">
        <v>1040</v>
      </c>
    </row>
    <row r="533" spans="3:4" ht="15.6" x14ac:dyDescent="0.3">
      <c r="C533" s="30" t="s">
        <v>804</v>
      </c>
      <c r="D533" s="28" t="s">
        <v>1033</v>
      </c>
    </row>
    <row r="534" spans="3:4" x14ac:dyDescent="0.25">
      <c r="C534" s="35" t="s">
        <v>166</v>
      </c>
      <c r="D534" s="32">
        <f>IF('TABELA 1'!B764&gt;0,'TABELA 1'!B764,0)</f>
        <v>0.36666666666666664</v>
      </c>
    </row>
    <row r="535" spans="3:4" x14ac:dyDescent="0.25">
      <c r="C535" s="35" t="s">
        <v>169</v>
      </c>
      <c r="D535" s="32">
        <f>IF('TABELA 1'!B765&gt;0,'TABELA 1'!B765,0)</f>
        <v>0.26666666666666666</v>
      </c>
    </row>
    <row r="536" spans="3:4" x14ac:dyDescent="0.25">
      <c r="C536" s="35" t="s">
        <v>170</v>
      </c>
      <c r="D536" s="32">
        <f>IF('TABELA 1'!B766&gt;0,'TABELA 1'!B766,0)</f>
        <v>0.4</v>
      </c>
    </row>
    <row r="537" spans="3:4" x14ac:dyDescent="0.25">
      <c r="C537" s="36" t="s">
        <v>171</v>
      </c>
      <c r="D537" s="37">
        <f>IF('TABELA 1'!B767&gt;0,'TABELA 1'!B767,0)</f>
        <v>0.23333333333333334</v>
      </c>
    </row>
    <row r="541" spans="3:4" ht="15.6" x14ac:dyDescent="0.3">
      <c r="C541" s="29" t="s">
        <v>1040</v>
      </c>
    </row>
    <row r="563" spans="3:4" ht="15.6" x14ac:dyDescent="0.3">
      <c r="C563" s="51" t="s">
        <v>900</v>
      </c>
      <c r="D563" s="52"/>
    </row>
    <row r="567" spans="3:4" ht="15.6" x14ac:dyDescent="0.3">
      <c r="C567" s="29" t="s">
        <v>901</v>
      </c>
    </row>
    <row r="568" spans="3:4" ht="15.6" x14ac:dyDescent="0.3">
      <c r="C568" s="30" t="s">
        <v>804</v>
      </c>
      <c r="D568" s="28" t="s">
        <v>1033</v>
      </c>
    </row>
    <row r="569" spans="3:4" x14ac:dyDescent="0.25">
      <c r="C569" s="31" t="str">
        <f>IF('TABELA 1'!A403&gt;0,'TABELA 1'!A403,"")</f>
        <v>Apenas o(a) proprietário(a)</v>
      </c>
      <c r="D569" s="32">
        <f>IF('TABELA 1'!B403&gt;0,'TABELA 1'!B403,"")</f>
        <v>0.53333333333333333</v>
      </c>
    </row>
    <row r="570" spans="3:4" x14ac:dyDescent="0.25">
      <c r="C570" s="31" t="str">
        <f>IF('TABELA 1'!A404&gt;0,'TABELA 1'!A404,"")</f>
        <v>Proprietário(a) e família</v>
      </c>
      <c r="D570" s="32">
        <f>IF('TABELA 1'!B404&gt;0,'TABELA 1'!B404,"")</f>
        <v>0.43333333333333335</v>
      </c>
    </row>
    <row r="571" spans="3:4" x14ac:dyDescent="0.25">
      <c r="C571" s="31" t="str">
        <f>IF('TABELA 1'!A405&gt;0,'TABELA 1'!A405,"")</f>
        <v>Administrador(a) e proprietário(a)</v>
      </c>
      <c r="D571" s="32">
        <f>IF('TABELA 1'!B405&gt;0,'TABELA 1'!B405,"")</f>
        <v>3.3333333333333333E-2</v>
      </c>
    </row>
    <row r="572" spans="3:4" ht="15.6" x14ac:dyDescent="0.3">
      <c r="C572" s="33" t="s">
        <v>805</v>
      </c>
      <c r="D572" s="34">
        <f>SUM(D569:D571)</f>
        <v>1</v>
      </c>
    </row>
    <row r="576" spans="3:4" ht="15.6" x14ac:dyDescent="0.3">
      <c r="C576" s="29" t="s">
        <v>909</v>
      </c>
    </row>
    <row r="577" spans="3:4" ht="15.6" x14ac:dyDescent="0.3">
      <c r="C577" s="30" t="s">
        <v>804</v>
      </c>
      <c r="D577" s="28" t="s">
        <v>1033</v>
      </c>
    </row>
    <row r="578" spans="3:4" x14ac:dyDescent="0.25">
      <c r="C578" s="35" t="s">
        <v>176</v>
      </c>
      <c r="D578" s="32">
        <f>IF('TABELA 1'!B786&gt;0,'TABELA 1'!B786,0)</f>
        <v>0.76666666666666672</v>
      </c>
    </row>
    <row r="579" spans="3:4" x14ac:dyDescent="0.25">
      <c r="C579" s="35" t="s">
        <v>177</v>
      </c>
      <c r="D579" s="32">
        <f>IF('TABELA 1'!B787&gt;0,'TABELA 1'!B787,0)</f>
        <v>0.83333333333333337</v>
      </c>
    </row>
    <row r="580" spans="3:4" x14ac:dyDescent="0.25">
      <c r="C580" s="35" t="s">
        <v>178</v>
      </c>
      <c r="D580" s="32">
        <f>IF('TABELA 1'!B788&gt;0,'TABELA 1'!B788,0)</f>
        <v>0.36666666666666664</v>
      </c>
    </row>
    <row r="581" spans="3:4" x14ac:dyDescent="0.25">
      <c r="C581" s="35" t="s">
        <v>179</v>
      </c>
      <c r="D581" s="32">
        <f>IF('TABELA 1'!B789&gt;0,'TABELA 1'!B789,0)</f>
        <v>0.36666666666666664</v>
      </c>
    </row>
    <row r="582" spans="3:4" x14ac:dyDescent="0.25">
      <c r="C582" s="35" t="s">
        <v>180</v>
      </c>
      <c r="D582" s="32">
        <f>IF('TABELA 1'!B790&gt;0,'TABELA 1'!B790,0)</f>
        <v>0.13333333333333333</v>
      </c>
    </row>
    <row r="583" spans="3:4" x14ac:dyDescent="0.25">
      <c r="C583" s="35" t="s">
        <v>181</v>
      </c>
      <c r="D583" s="32">
        <f>IF('TABELA 1'!B791&gt;0,'TABELA 1'!B791,0)</f>
        <v>0.16666666666666666</v>
      </c>
    </row>
    <row r="584" spans="3:4" x14ac:dyDescent="0.25">
      <c r="C584" s="36" t="s">
        <v>182</v>
      </c>
      <c r="D584" s="37">
        <f>IF('TABELA 1'!B792&gt;0,'TABELA 1'!B792,0)</f>
        <v>0.1</v>
      </c>
    </row>
    <row r="588" spans="3:4" ht="15.6" x14ac:dyDescent="0.3">
      <c r="C588" s="29" t="s">
        <v>909</v>
      </c>
    </row>
    <row r="610" spans="3:4" ht="15.6" x14ac:dyDescent="0.3">
      <c r="C610" s="29" t="s">
        <v>910</v>
      </c>
    </row>
    <row r="611" spans="3:4" ht="15.6" x14ac:dyDescent="0.3">
      <c r="C611" s="30" t="s">
        <v>804</v>
      </c>
      <c r="D611" s="28" t="s">
        <v>1033</v>
      </c>
    </row>
    <row r="612" spans="3:4" ht="31.8" customHeight="1" x14ac:dyDescent="0.25">
      <c r="C612" s="43" t="str">
        <f>IF('TABELA 1'!A413&gt;0,'TABELA 1'!A413,"")</f>
        <v>Acompanha o fluxo de caixa e calcula periodicamente custos de produção e margens</v>
      </c>
      <c r="D612" s="44">
        <f>IF('TABELA 1'!B413&gt;0,'TABELA 1'!B413,"")</f>
        <v>0.33333333333333331</v>
      </c>
    </row>
    <row r="613" spans="3:4" ht="30" x14ac:dyDescent="0.25">
      <c r="C613" s="43" t="str">
        <f>IF('TABELA 1'!A414&gt;0,'TABELA 1'!A414,"")</f>
        <v>Utiliza os indicadores econômicos de forma sistemática para tomada de decisão</v>
      </c>
      <c r="D613" s="44">
        <f>IF('TABELA 1'!B414&gt;0,'TABELA 1'!B414,"")</f>
        <v>0.66666666666666663</v>
      </c>
    </row>
    <row r="614" spans="3:4" ht="15.6" x14ac:dyDescent="0.3">
      <c r="C614" s="33" t="s">
        <v>805</v>
      </c>
      <c r="D614" s="34">
        <f>SUM(D611:D613)</f>
        <v>1</v>
      </c>
    </row>
    <row r="618" spans="3:4" ht="15.6" x14ac:dyDescent="0.3">
      <c r="C618" s="29" t="s">
        <v>914</v>
      </c>
    </row>
    <row r="619" spans="3:4" ht="15.6" x14ac:dyDescent="0.3">
      <c r="C619" s="30" t="s">
        <v>804</v>
      </c>
      <c r="D619" s="28" t="s">
        <v>1033</v>
      </c>
    </row>
    <row r="620" spans="3:4" x14ac:dyDescent="0.25">
      <c r="C620" s="35" t="s">
        <v>911</v>
      </c>
      <c r="D620" s="32">
        <f>IF('TABELA 1'!B422&gt;0,'TABELA 1'!B422,"")</f>
        <v>0.8666666666666667</v>
      </c>
    </row>
    <row r="621" spans="3:4" x14ac:dyDescent="0.25">
      <c r="C621" s="35" t="s">
        <v>912</v>
      </c>
      <c r="D621" s="38">
        <f>IF('TABELA 1'!B431&gt;0,'TABELA 1'!B431,"")</f>
        <v>2.2703846153846148</v>
      </c>
    </row>
    <row r="622" spans="3:4" x14ac:dyDescent="0.25">
      <c r="C622" s="36" t="s">
        <v>913</v>
      </c>
      <c r="D622" s="39">
        <f>IF('TABELA 1'!B432&gt;0,'TABELA 1'!B432,"")</f>
        <v>2.7336666666666662</v>
      </c>
    </row>
    <row r="626" spans="3:4" ht="15.6" x14ac:dyDescent="0.3">
      <c r="C626" s="51" t="s">
        <v>915</v>
      </c>
      <c r="D626" s="52"/>
    </row>
    <row r="630" spans="3:4" ht="15.6" x14ac:dyDescent="0.3">
      <c r="C630" s="29" t="s">
        <v>916</v>
      </c>
    </row>
    <row r="631" spans="3:4" ht="15.6" x14ac:dyDescent="0.3">
      <c r="C631" s="30" t="s">
        <v>804</v>
      </c>
      <c r="D631" s="28" t="s">
        <v>1033</v>
      </c>
    </row>
    <row r="632" spans="3:4" x14ac:dyDescent="0.25">
      <c r="C632" s="35" t="s">
        <v>187</v>
      </c>
      <c r="D632" s="32">
        <f>IF('TABELA 1'!B810&gt;0,'TABELA 1'!B810,0)</f>
        <v>1</v>
      </c>
    </row>
    <row r="633" spans="3:4" x14ac:dyDescent="0.25">
      <c r="C633" s="35" t="s">
        <v>188</v>
      </c>
      <c r="D633" s="32">
        <f>IF('TABELA 1'!B811&gt;0,'TABELA 1'!B811,0)</f>
        <v>0.16666666666666666</v>
      </c>
    </row>
    <row r="634" spans="3:4" x14ac:dyDescent="0.25">
      <c r="C634" s="35" t="s">
        <v>189</v>
      </c>
      <c r="D634" s="32">
        <f>IF('TABELA 1'!B812&gt;0,'TABELA 1'!B812,0)</f>
        <v>0.43333333333333335</v>
      </c>
    </row>
    <row r="635" spans="3:4" x14ac:dyDescent="0.25">
      <c r="C635" s="35" t="s">
        <v>190</v>
      </c>
      <c r="D635" s="32">
        <f>IF('TABELA 1'!B813&gt;0,'TABELA 1'!B813,0)</f>
        <v>0.1</v>
      </c>
    </row>
    <row r="636" spans="3:4" x14ac:dyDescent="0.25">
      <c r="C636" s="35" t="s">
        <v>191</v>
      </c>
      <c r="D636" s="32">
        <f>IF('TABELA 1'!B814&gt;0,'TABELA 1'!B814,0)</f>
        <v>0</v>
      </c>
    </row>
    <row r="637" spans="3:4" x14ac:dyDescent="0.25">
      <c r="C637" s="36" t="s">
        <v>192</v>
      </c>
      <c r="D637" s="37">
        <f>IF('TABELA 1'!B815&gt;0,'TABELA 1'!B815,0)</f>
        <v>0.5</v>
      </c>
    </row>
    <row r="641" spans="3:4" ht="15.6" x14ac:dyDescent="0.3">
      <c r="C641" s="29" t="s">
        <v>933</v>
      </c>
    </row>
    <row r="642" spans="3:4" ht="15.6" x14ac:dyDescent="0.3">
      <c r="C642" s="30" t="s">
        <v>804</v>
      </c>
      <c r="D642" s="28" t="s">
        <v>1033</v>
      </c>
    </row>
    <row r="643" spans="3:4" x14ac:dyDescent="0.25">
      <c r="C643" s="35" t="s">
        <v>195</v>
      </c>
      <c r="D643" s="32">
        <f>IF('TABELA 1'!B883&gt;0,'TABELA 1'!B883,0)</f>
        <v>0.10112359550561799</v>
      </c>
    </row>
    <row r="644" spans="3:4" x14ac:dyDescent="0.25">
      <c r="C644" s="35" t="s">
        <v>196</v>
      </c>
      <c r="D644" s="32">
        <f>IF('TABELA 1'!B884&gt;0,'TABELA 1'!B884,0)</f>
        <v>0.13483146067415733</v>
      </c>
    </row>
    <row r="645" spans="3:4" x14ac:dyDescent="0.25">
      <c r="C645" s="35" t="s">
        <v>197</v>
      </c>
      <c r="D645" s="32">
        <f>IF('TABELA 1'!B885&gt;0,'TABELA 1'!B885,0)</f>
        <v>1.1235955056179777E-2</v>
      </c>
    </row>
    <row r="646" spans="3:4" x14ac:dyDescent="0.25">
      <c r="C646" s="35" t="s">
        <v>79</v>
      </c>
      <c r="D646" s="32">
        <f>IF('TABELA 1'!B886&gt;0,'TABELA 1'!B886,0)</f>
        <v>0.2359550561797753</v>
      </c>
    </row>
    <row r="647" spans="3:4" x14ac:dyDescent="0.25">
      <c r="C647" s="35" t="s">
        <v>77</v>
      </c>
      <c r="D647" s="32">
        <f>IF('TABELA 1'!B887&gt;0,'TABELA 1'!B887,0)</f>
        <v>0.21348314606741575</v>
      </c>
    </row>
    <row r="648" spans="3:4" x14ac:dyDescent="0.25">
      <c r="C648" s="35" t="s">
        <v>80</v>
      </c>
      <c r="D648" s="32">
        <f>IF('TABELA 1'!B888&gt;0,'TABELA 1'!B888,0)</f>
        <v>8.9887640449438214E-2</v>
      </c>
    </row>
    <row r="649" spans="3:4" x14ac:dyDescent="0.25">
      <c r="C649" s="35" t="s">
        <v>198</v>
      </c>
      <c r="D649" s="32">
        <f>IF('TABELA 1'!B889&gt;0,'TABELA 1'!B889,0)</f>
        <v>0.10112359550561799</v>
      </c>
    </row>
    <row r="650" spans="3:4" x14ac:dyDescent="0.25">
      <c r="C650" s="35" t="s">
        <v>199</v>
      </c>
      <c r="D650" s="32">
        <f>IF('TABELA 1'!B890&gt;0,'TABELA 1'!B890,0)</f>
        <v>2.2471910112359553E-2</v>
      </c>
    </row>
    <row r="651" spans="3:4" x14ac:dyDescent="0.25">
      <c r="C651" s="35" t="s">
        <v>200</v>
      </c>
      <c r="D651" s="32">
        <f>IF('TABELA 1'!B891&gt;0,'TABELA 1'!B891,0)</f>
        <v>0</v>
      </c>
    </row>
    <row r="652" spans="3:4" x14ac:dyDescent="0.25">
      <c r="C652" s="36" t="s">
        <v>201</v>
      </c>
      <c r="D652" s="32">
        <f>IF('TABELA 1'!B892&gt;0,'TABELA 1'!B892,0)</f>
        <v>8.9887640449438214E-2</v>
      </c>
    </row>
    <row r="653" spans="3:4" ht="15.6" x14ac:dyDescent="0.3">
      <c r="C653" s="33" t="s">
        <v>805</v>
      </c>
      <c r="D653" s="34">
        <f>SUM(D643:D652)</f>
        <v>1.0000000000000002</v>
      </c>
    </row>
    <row r="657" spans="3:4" ht="15.6" x14ac:dyDescent="0.3">
      <c r="C657" s="29" t="s">
        <v>934</v>
      </c>
    </row>
    <row r="658" spans="3:4" ht="15.6" x14ac:dyDescent="0.3">
      <c r="C658" s="30" t="s">
        <v>804</v>
      </c>
      <c r="D658" s="28" t="s">
        <v>1033</v>
      </c>
    </row>
    <row r="659" spans="3:4" x14ac:dyDescent="0.25">
      <c r="C659" s="35" t="s">
        <v>195</v>
      </c>
      <c r="D659" s="32">
        <f>IF('TABELA 1'!C883&gt;0,'TABELA 1'!C883,0)</f>
        <v>0.11904761904761903</v>
      </c>
    </row>
    <row r="660" spans="3:4" x14ac:dyDescent="0.25">
      <c r="C660" s="35" t="s">
        <v>196</v>
      </c>
      <c r="D660" s="32">
        <f>IF('TABELA 1'!C884&gt;0,'TABELA 1'!C884,0)</f>
        <v>0.14285714285714285</v>
      </c>
    </row>
    <row r="661" spans="3:4" x14ac:dyDescent="0.25">
      <c r="C661" s="35" t="s">
        <v>197</v>
      </c>
      <c r="D661" s="32">
        <f>IF('TABELA 1'!C885&gt;0,'TABELA 1'!C885,0)</f>
        <v>0.38095238095238093</v>
      </c>
    </row>
    <row r="662" spans="3:4" x14ac:dyDescent="0.25">
      <c r="C662" s="35" t="s">
        <v>79</v>
      </c>
      <c r="D662" s="32">
        <f>IF('TABELA 1'!C886&gt;0,'TABELA 1'!C886,0)</f>
        <v>0</v>
      </c>
    </row>
    <row r="663" spans="3:4" x14ac:dyDescent="0.25">
      <c r="C663" s="35" t="s">
        <v>77</v>
      </c>
      <c r="D663" s="32">
        <f>IF('TABELA 1'!C887&gt;0,'TABELA 1'!C887,0)</f>
        <v>4.7619047619047616E-2</v>
      </c>
    </row>
    <row r="664" spans="3:4" x14ac:dyDescent="0.25">
      <c r="C664" s="35" t="s">
        <v>80</v>
      </c>
      <c r="D664" s="32">
        <f>IF('TABELA 1'!C888&gt;0,'TABELA 1'!C888,0)</f>
        <v>0</v>
      </c>
    </row>
    <row r="665" spans="3:4" x14ac:dyDescent="0.25">
      <c r="C665" s="35" t="s">
        <v>198</v>
      </c>
      <c r="D665" s="32">
        <f>IF('TABELA 1'!C889&gt;0,'TABELA 1'!C889,0)</f>
        <v>0.11904761904761903</v>
      </c>
    </row>
    <row r="666" spans="3:4" x14ac:dyDescent="0.25">
      <c r="C666" s="35" t="s">
        <v>199</v>
      </c>
      <c r="D666" s="32">
        <f>IF('TABELA 1'!C890&gt;0,'TABELA 1'!C890,0)</f>
        <v>7.1428571428571425E-2</v>
      </c>
    </row>
    <row r="667" spans="3:4" x14ac:dyDescent="0.25">
      <c r="C667" s="35" t="s">
        <v>200</v>
      </c>
      <c r="D667" s="32">
        <f>IF('TABELA 1'!C891&gt;0,'TABELA 1'!C891,0)</f>
        <v>9.5238095238095233E-2</v>
      </c>
    </row>
    <row r="668" spans="3:4" x14ac:dyDescent="0.25">
      <c r="C668" s="36" t="s">
        <v>201</v>
      </c>
      <c r="D668" s="32">
        <f>IF('TABELA 1'!C892&gt;0,'TABELA 1'!C892,0)</f>
        <v>2.3809523809523808E-2</v>
      </c>
    </row>
    <row r="669" spans="3:4" ht="15.6" x14ac:dyDescent="0.3">
      <c r="C669" s="33" t="s">
        <v>805</v>
      </c>
      <c r="D669" s="34">
        <f>SUM(D659:D668)</f>
        <v>1</v>
      </c>
    </row>
    <row r="673" spans="3:3" ht="15.6" x14ac:dyDescent="0.3">
      <c r="C673" s="29" t="s">
        <v>947</v>
      </c>
    </row>
    <row r="695" spans="3:4" ht="15.6" x14ac:dyDescent="0.3">
      <c r="C695" s="51" t="s">
        <v>988</v>
      </c>
      <c r="D695" s="52"/>
    </row>
    <row r="699" spans="3:4" ht="15.6" x14ac:dyDescent="0.3">
      <c r="C699" s="29" t="s">
        <v>948</v>
      </c>
    </row>
    <row r="700" spans="3:4" ht="15.6" x14ac:dyDescent="0.3">
      <c r="C700" s="30" t="s">
        <v>804</v>
      </c>
      <c r="D700" s="28" t="s">
        <v>1033</v>
      </c>
    </row>
    <row r="701" spans="3:4" x14ac:dyDescent="0.25">
      <c r="C701" s="35" t="s">
        <v>949</v>
      </c>
      <c r="D701" s="32">
        <f>IF('TABELA 1'!B439/100&gt;0,'TABELA 1'!B439/100,0)</f>
        <v>4.1666666666666671E-2</v>
      </c>
    </row>
    <row r="702" spans="3:4" x14ac:dyDescent="0.25">
      <c r="C702" s="35" t="s">
        <v>950</v>
      </c>
      <c r="D702" s="32">
        <f>IF('TABELA 1'!B440/100&gt;0,'TABELA 1'!B440/100,0)</f>
        <v>0.62666666666666659</v>
      </c>
    </row>
    <row r="703" spans="3:4" x14ac:dyDescent="0.25">
      <c r="C703" s="35" t="s">
        <v>951</v>
      </c>
      <c r="D703" s="32">
        <f>IF('TABELA 1'!B441/100&gt;0,'TABELA 1'!B441/100,0)</f>
        <v>0.23333333333333331</v>
      </c>
    </row>
    <row r="704" spans="3:4" x14ac:dyDescent="0.25">
      <c r="C704" s="35" t="s">
        <v>952</v>
      </c>
      <c r="D704" s="32">
        <f>IF('TABELA 1'!B442/100&gt;0,'TABELA 1'!B442/100,0)</f>
        <v>0.05</v>
      </c>
    </row>
    <row r="705" spans="3:4" x14ac:dyDescent="0.25">
      <c r="C705" s="35" t="s">
        <v>953</v>
      </c>
      <c r="D705" s="32">
        <f>IF('TABELA 1'!B443/100&gt;0,'TABELA 1'!B443/100,0)</f>
        <v>4.8333333333333332E-2</v>
      </c>
    </row>
    <row r="706" spans="3:4" ht="15.6" x14ac:dyDescent="0.3">
      <c r="C706" s="33" t="s">
        <v>805</v>
      </c>
      <c r="D706" s="34">
        <f>SUM(D701:D705)</f>
        <v>0.99999999999999989</v>
      </c>
    </row>
    <row r="710" spans="3:4" ht="15.6" x14ac:dyDescent="0.3">
      <c r="C710" s="29" t="s">
        <v>964</v>
      </c>
    </row>
    <row r="711" spans="3:4" ht="15.6" x14ac:dyDescent="0.3">
      <c r="C711" s="30" t="s">
        <v>804</v>
      </c>
      <c r="D711" s="28" t="s">
        <v>1033</v>
      </c>
    </row>
    <row r="712" spans="3:4" x14ac:dyDescent="0.25">
      <c r="C712" s="35" t="s">
        <v>209</v>
      </c>
      <c r="D712" s="32">
        <f>IF('TABELA 1'!B918&gt;0,'TABELA 1'!B918,0)</f>
        <v>0.73333333333333328</v>
      </c>
    </row>
    <row r="713" spans="3:4" x14ac:dyDescent="0.25">
      <c r="C713" s="35" t="s">
        <v>210</v>
      </c>
      <c r="D713" s="32">
        <f>IF('TABELA 1'!B919&gt;0,'TABELA 1'!B919,0)</f>
        <v>0.23333333333333334</v>
      </c>
    </row>
    <row r="714" spans="3:4" x14ac:dyDescent="0.25">
      <c r="C714" s="35" t="s">
        <v>211</v>
      </c>
      <c r="D714" s="32">
        <f>IF('TABELA 1'!B920&gt;0,'TABELA 1'!B920,0)</f>
        <v>0.5</v>
      </c>
    </row>
    <row r="715" spans="3:4" x14ac:dyDescent="0.25">
      <c r="C715" s="35" t="s">
        <v>212</v>
      </c>
      <c r="D715" s="32">
        <f>IF('TABELA 1'!B921&gt;0,'TABELA 1'!B921,0)</f>
        <v>6.6666666666666666E-2</v>
      </c>
    </row>
    <row r="716" spans="3:4" x14ac:dyDescent="0.25">
      <c r="C716" s="35" t="s">
        <v>213</v>
      </c>
      <c r="D716" s="32">
        <f>IF('TABELA 1'!B922&gt;0,'TABELA 1'!B922,0)</f>
        <v>0.8</v>
      </c>
    </row>
    <row r="717" spans="3:4" x14ac:dyDescent="0.25">
      <c r="C717" s="35" t="s">
        <v>214</v>
      </c>
      <c r="D717" s="32">
        <f>IF('TABELA 1'!B923&gt;0,'TABELA 1'!B923,0)</f>
        <v>0</v>
      </c>
    </row>
    <row r="718" spans="3:4" x14ac:dyDescent="0.25">
      <c r="C718" s="35" t="s">
        <v>215</v>
      </c>
      <c r="D718" s="32">
        <f>IF('TABELA 1'!B924&gt;0,'TABELA 1'!B924,0)</f>
        <v>0.26666666666666666</v>
      </c>
    </row>
    <row r="719" spans="3:4" x14ac:dyDescent="0.25">
      <c r="C719" s="35" t="s">
        <v>216</v>
      </c>
      <c r="D719" s="32">
        <f>IF('TABELA 1'!B925&gt;0,'TABELA 1'!B925,0)</f>
        <v>0.93333333333333335</v>
      </c>
    </row>
    <row r="720" spans="3:4" x14ac:dyDescent="0.25">
      <c r="C720" s="35" t="s">
        <v>217</v>
      </c>
      <c r="D720" s="32">
        <f>IF('TABELA 1'!B926&gt;0,'TABELA 1'!B926,0)</f>
        <v>0.13333333333333333</v>
      </c>
    </row>
    <row r="721" spans="3:4" x14ac:dyDescent="0.25">
      <c r="C721" s="36" t="s">
        <v>965</v>
      </c>
      <c r="D721" s="37">
        <f>IF('TABELA 1'!B927&gt;0,'TABELA 1'!B927,0)</f>
        <v>3.3333333333333333E-2</v>
      </c>
    </row>
    <row r="725" spans="3:4" ht="15.6" x14ac:dyDescent="0.3">
      <c r="C725" s="29" t="s">
        <v>967</v>
      </c>
    </row>
    <row r="726" spans="3:4" ht="15.6" x14ac:dyDescent="0.3">
      <c r="C726" s="30" t="s">
        <v>804</v>
      </c>
      <c r="D726" s="28" t="s">
        <v>1033</v>
      </c>
    </row>
    <row r="727" spans="3:4" x14ac:dyDescent="0.25">
      <c r="C727" s="31" t="str">
        <f>IF('TABELA 1'!A460&gt;0,'TABELA 1'!A460,"")</f>
        <v>Em toda fazenda</v>
      </c>
      <c r="D727" s="32">
        <f>IF('TABELA 1'!B460&gt;0,'TABELA 1'!B460,"")</f>
        <v>0.53333333333333333</v>
      </c>
    </row>
    <row r="728" spans="3:4" x14ac:dyDescent="0.25">
      <c r="C728" s="31" t="str">
        <f>IF('TABELA 1'!A461&gt;0,'TABELA 1'!A461,"")</f>
        <v>Somente na residência</v>
      </c>
      <c r="D728" s="32">
        <f>IF('TABELA 1'!B461&gt;0,'TABELA 1'!B461,"")</f>
        <v>0.43333333333333335</v>
      </c>
    </row>
    <row r="729" spans="3:4" x14ac:dyDescent="0.25">
      <c r="C729" s="31" t="str">
        <f>IF('TABELA 1'!A462&gt;0,'TABELA 1'!A462,"")</f>
        <v>Não tem acesso à internet</v>
      </c>
      <c r="D729" s="32">
        <f>IF('TABELA 1'!B462&gt;0,'TABELA 1'!B462,"")</f>
        <v>3.3333333333333333E-2</v>
      </c>
    </row>
    <row r="730" spans="3:4" ht="15.6" x14ac:dyDescent="0.3">
      <c r="C730" s="33" t="s">
        <v>805</v>
      </c>
      <c r="D730" s="34">
        <f>SUM(D727:D729)</f>
        <v>1</v>
      </c>
    </row>
    <row r="734" spans="3:4" ht="15.6" x14ac:dyDescent="0.3">
      <c r="C734" s="29" t="s">
        <v>978</v>
      </c>
    </row>
    <row r="735" spans="3:4" ht="15.6" x14ac:dyDescent="0.3">
      <c r="C735" s="30" t="s">
        <v>804</v>
      </c>
      <c r="D735" s="28" t="s">
        <v>1033</v>
      </c>
    </row>
    <row r="736" spans="3:4" x14ac:dyDescent="0.25">
      <c r="C736" s="35" t="s">
        <v>222</v>
      </c>
      <c r="D736" s="32">
        <f>IF('TABELA 1'!B949&gt;0,'TABELA 1'!B949,0)</f>
        <v>0.56666666666666665</v>
      </c>
    </row>
    <row r="737" spans="3:4" x14ac:dyDescent="0.25">
      <c r="C737" s="35" t="s">
        <v>223</v>
      </c>
      <c r="D737" s="32">
        <f>IF('TABELA 1'!B950&gt;0,'TABELA 1'!B950,0)</f>
        <v>0.26666666666666666</v>
      </c>
    </row>
    <row r="738" spans="3:4" x14ac:dyDescent="0.25">
      <c r="C738" s="35" t="s">
        <v>224</v>
      </c>
      <c r="D738" s="32">
        <f>IF('TABELA 1'!B951&gt;0,'TABELA 1'!B951,0)</f>
        <v>0.83333333333333337</v>
      </c>
    </row>
    <row r="739" spans="3:4" x14ac:dyDescent="0.25">
      <c r="C739" s="35" t="s">
        <v>225</v>
      </c>
      <c r="D739" s="32">
        <f>IF('TABELA 1'!B952&gt;0,'TABELA 1'!B952,0)</f>
        <v>0.46666666666666667</v>
      </c>
    </row>
    <row r="740" spans="3:4" x14ac:dyDescent="0.25">
      <c r="C740" s="35" t="s">
        <v>226</v>
      </c>
      <c r="D740" s="32">
        <f>IF('TABELA 1'!B953&gt;0,'TABELA 1'!B953,0)</f>
        <v>0.46666666666666667</v>
      </c>
    </row>
    <row r="741" spans="3:4" x14ac:dyDescent="0.25">
      <c r="C741" s="35" t="s">
        <v>227</v>
      </c>
      <c r="D741" s="32">
        <f>IF('TABELA 1'!B954&gt;0,'TABELA 1'!B954,0)</f>
        <v>0.5</v>
      </c>
    </row>
    <row r="742" spans="3:4" x14ac:dyDescent="0.25">
      <c r="C742" s="35" t="s">
        <v>228</v>
      </c>
      <c r="D742" s="32">
        <f>IF('TABELA 1'!B955&gt;0,'TABELA 1'!B955,0)</f>
        <v>0.16666666666666666</v>
      </c>
    </row>
    <row r="743" spans="3:4" x14ac:dyDescent="0.25">
      <c r="C743" s="35" t="s">
        <v>229</v>
      </c>
      <c r="D743" s="32">
        <f>IF('TABELA 1'!B956&gt;0,'TABELA 1'!B956,0)</f>
        <v>0.53333333333333333</v>
      </c>
    </row>
    <row r="744" spans="3:4" x14ac:dyDescent="0.25">
      <c r="C744" s="35" t="s">
        <v>230</v>
      </c>
      <c r="D744" s="32">
        <f>IF('TABELA 1'!B957&gt;0,'TABELA 1'!B957,0)</f>
        <v>0.33333333333333331</v>
      </c>
    </row>
    <row r="745" spans="3:4" x14ac:dyDescent="0.25">
      <c r="C745" s="36" t="s">
        <v>231</v>
      </c>
      <c r="D745" s="37">
        <f>IF('TABELA 1'!B958&gt;0,'TABELA 1'!B958,0)</f>
        <v>0.83333333333333337</v>
      </c>
    </row>
    <row r="749" spans="3:4" ht="15.6" x14ac:dyDescent="0.3">
      <c r="C749" s="29" t="s">
        <v>979</v>
      </c>
    </row>
    <row r="750" spans="3:4" ht="15.6" x14ac:dyDescent="0.3">
      <c r="C750" s="30" t="s">
        <v>804</v>
      </c>
      <c r="D750" s="28" t="s">
        <v>1033</v>
      </c>
    </row>
    <row r="751" spans="3:4" x14ac:dyDescent="0.25">
      <c r="C751" s="31" t="str">
        <f>IF('TABELA 1'!A470&gt;0,'TABELA 1'!A470,"")</f>
        <v>“Raspado” e/ou armazenado</v>
      </c>
      <c r="D751" s="32">
        <f>IF('TABELA 1'!B470&gt;0,'TABELA 1'!B470,"")</f>
        <v>0.5</v>
      </c>
    </row>
    <row r="752" spans="3:4" x14ac:dyDescent="0.25">
      <c r="C752" s="31" t="str">
        <f>IF('TABELA 1'!A471&gt;0,'TABELA 1'!A471,"")</f>
        <v>Chorumeira</v>
      </c>
      <c r="D752" s="32">
        <f>IF('TABELA 1'!B471&gt;0,'TABELA 1'!B471,"")</f>
        <v>0.2</v>
      </c>
    </row>
    <row r="753" spans="3:4" x14ac:dyDescent="0.25">
      <c r="C753" s="31" t="str">
        <f>IF('TABELA 1'!A472&gt;0,'TABELA 1'!A472,"")</f>
        <v>Composteira</v>
      </c>
      <c r="D753" s="32">
        <f>IF('TABELA 1'!B472&gt;0,'TABELA 1'!B472,"")</f>
        <v>0.16666666666666666</v>
      </c>
    </row>
    <row r="754" spans="3:4" x14ac:dyDescent="0.25">
      <c r="C754" s="31" t="str">
        <f>IF('TABELA 1'!A473&gt;0,'TABELA 1'!A473,"")</f>
        <v>Não tem destino certo</v>
      </c>
      <c r="D754" s="32">
        <f>IF('TABELA 1'!B473&gt;0,'TABELA 1'!B473,"")</f>
        <v>0.13333333333333333</v>
      </c>
    </row>
    <row r="755" spans="3:4" ht="15.6" x14ac:dyDescent="0.3">
      <c r="C755" s="33" t="s">
        <v>805</v>
      </c>
      <c r="D755" s="34">
        <f>SUM(D751:D754)</f>
        <v>0.99999999999999989</v>
      </c>
    </row>
    <row r="759" spans="3:4" ht="15.6" x14ac:dyDescent="0.3">
      <c r="C759" s="29" t="s">
        <v>980</v>
      </c>
    </row>
    <row r="760" spans="3:4" ht="15.6" x14ac:dyDescent="0.3">
      <c r="C760" s="30" t="s">
        <v>804</v>
      </c>
      <c r="D760" s="28" t="s">
        <v>1033</v>
      </c>
    </row>
    <row r="761" spans="3:4" x14ac:dyDescent="0.25">
      <c r="C761" s="35" t="s">
        <v>981</v>
      </c>
      <c r="D761" s="38">
        <f>IF('TABELA 1'!B481&gt;0,'TABELA 1'!B481,"")</f>
        <v>3.2100000000000004</v>
      </c>
    </row>
    <row r="762" spans="3:4" x14ac:dyDescent="0.25">
      <c r="C762" s="35" t="s">
        <v>982</v>
      </c>
      <c r="D762" s="38">
        <f>IF('TABELA 1'!B482&gt;0,'TABELA 1'!B482,"")</f>
        <v>2.86</v>
      </c>
    </row>
    <row r="763" spans="3:4" x14ac:dyDescent="0.25">
      <c r="C763" s="35" t="s">
        <v>983</v>
      </c>
      <c r="D763" s="38">
        <f>IF('TABELA 1'!B483&gt;0,'TABELA 1'!B483,"")</f>
        <v>104</v>
      </c>
    </row>
    <row r="764" spans="3:4" x14ac:dyDescent="0.25">
      <c r="C764" s="35" t="s">
        <v>984</v>
      </c>
      <c r="D764" s="38">
        <f>IF('TABELA 1'!B484&gt;0,'TABELA 1'!B484,"")</f>
        <v>25.786666666666669</v>
      </c>
    </row>
    <row r="765" spans="3:4" x14ac:dyDescent="0.25">
      <c r="C765" s="35" t="s">
        <v>985</v>
      </c>
      <c r="D765" s="38">
        <f>IF('TABELA 1'!B485&gt;0,'TABELA 1'!B485,"")</f>
        <v>27.18</v>
      </c>
    </row>
    <row r="766" spans="3:4" x14ac:dyDescent="0.25">
      <c r="C766" s="35" t="s">
        <v>986</v>
      </c>
      <c r="D766" s="38">
        <f>IF('TABELA 1'!B486&gt;0,'TABELA 1'!B486,"")</f>
        <v>3.3533333333333335</v>
      </c>
    </row>
    <row r="767" spans="3:4" x14ac:dyDescent="0.25">
      <c r="C767" s="36" t="s">
        <v>987</v>
      </c>
      <c r="D767" s="39">
        <f>IF('TABELA 1'!B487&gt;0,'TABELA 1'!B487,"")</f>
        <v>2.4500000000000002</v>
      </c>
    </row>
    <row r="771" spans="3:4" ht="15.6" x14ac:dyDescent="0.3">
      <c r="C771" s="29" t="s">
        <v>999</v>
      </c>
    </row>
    <row r="772" spans="3:4" ht="15.6" x14ac:dyDescent="0.3">
      <c r="C772" s="30" t="s">
        <v>804</v>
      </c>
      <c r="D772" s="28" t="s">
        <v>1033</v>
      </c>
    </row>
    <row r="773" spans="3:4" x14ac:dyDescent="0.25">
      <c r="C773" s="35" t="s">
        <v>247</v>
      </c>
      <c r="D773" s="32">
        <f>IF('TABELA 1'!B980&gt;0,'TABELA 1'!B980,0)</f>
        <v>0.96666666666666667</v>
      </c>
    </row>
    <row r="774" spans="3:4" x14ac:dyDescent="0.25">
      <c r="C774" s="35" t="s">
        <v>248</v>
      </c>
      <c r="D774" s="32">
        <f>IF('TABELA 1'!B981&gt;0,'TABELA 1'!B981,0)</f>
        <v>1</v>
      </c>
    </row>
    <row r="775" spans="3:4" x14ac:dyDescent="0.25">
      <c r="C775" s="35" t="s">
        <v>249</v>
      </c>
      <c r="D775" s="32">
        <f>IF('TABELA 1'!B982&gt;0,'TABELA 1'!B982,0)</f>
        <v>0.26666666666666666</v>
      </c>
    </row>
    <row r="776" spans="3:4" x14ac:dyDescent="0.25">
      <c r="C776" s="35" t="s">
        <v>250</v>
      </c>
      <c r="D776" s="32">
        <f>IF('TABELA 1'!B983&gt;0,'TABELA 1'!B983,0)</f>
        <v>1</v>
      </c>
    </row>
    <row r="777" spans="3:4" x14ac:dyDescent="0.25">
      <c r="C777" s="35" t="s">
        <v>251</v>
      </c>
      <c r="D777" s="32">
        <f>IF('TABELA 1'!B984&gt;0,'TABELA 1'!B984,0)</f>
        <v>0.56666666666666665</v>
      </c>
    </row>
    <row r="778" spans="3:4" x14ac:dyDescent="0.25">
      <c r="C778" s="35" t="s">
        <v>252</v>
      </c>
      <c r="D778" s="32">
        <f>IF('TABELA 1'!B985&gt;0,'TABELA 1'!B985,0)</f>
        <v>0.8</v>
      </c>
    </row>
    <row r="779" spans="3:4" x14ac:dyDescent="0.25">
      <c r="C779" s="35" t="s">
        <v>253</v>
      </c>
      <c r="D779" s="32">
        <f>IF('TABELA 1'!B986&gt;0,'TABELA 1'!B986,0)</f>
        <v>1</v>
      </c>
    </row>
    <row r="780" spans="3:4" x14ac:dyDescent="0.25">
      <c r="C780" s="35" t="s">
        <v>254</v>
      </c>
      <c r="D780" s="32">
        <f>IF('TABELA 1'!B987&gt;0,'TABELA 1'!B987,0)</f>
        <v>0.8666666666666667</v>
      </c>
    </row>
    <row r="781" spans="3:4" x14ac:dyDescent="0.25">
      <c r="C781" s="35" t="s">
        <v>255</v>
      </c>
      <c r="D781" s="32">
        <f>IF('TABELA 1'!B988&gt;0,'TABELA 1'!B988,0)</f>
        <v>0.96666666666666667</v>
      </c>
    </row>
    <row r="782" spans="3:4" x14ac:dyDescent="0.25">
      <c r="C782" s="36" t="s">
        <v>256</v>
      </c>
      <c r="D782" s="37">
        <f>IF('TABELA 1'!B989&gt;0,'TABELA 1'!B989,0)</f>
        <v>1</v>
      </c>
    </row>
    <row r="786" spans="3:4" ht="15.6" x14ac:dyDescent="0.3">
      <c r="C786" s="29" t="s">
        <v>1007</v>
      </c>
    </row>
    <row r="787" spans="3:4" ht="15.6" x14ac:dyDescent="0.3">
      <c r="C787" s="30" t="s">
        <v>804</v>
      </c>
      <c r="D787" s="28" t="s">
        <v>1033</v>
      </c>
    </row>
    <row r="788" spans="3:4" x14ac:dyDescent="0.25">
      <c r="C788" s="35" t="s">
        <v>258</v>
      </c>
      <c r="D788" s="32">
        <f>IF('TABELA 1'!B1008&gt;0,'TABELA 1'!B1008,0)</f>
        <v>0.83333333333333337</v>
      </c>
    </row>
    <row r="789" spans="3:4" x14ac:dyDescent="0.25">
      <c r="C789" s="35" t="s">
        <v>259</v>
      </c>
      <c r="D789" s="32">
        <f>IF('TABELA 1'!B1009&gt;0,'TABELA 1'!B1009,0)</f>
        <v>1</v>
      </c>
    </row>
    <row r="790" spans="3:4" x14ac:dyDescent="0.25">
      <c r="C790" s="35" t="s">
        <v>260</v>
      </c>
      <c r="D790" s="32">
        <f>IF('TABELA 1'!B1010&gt;0,'TABELA 1'!B1010,0)</f>
        <v>1</v>
      </c>
    </row>
    <row r="791" spans="3:4" x14ac:dyDescent="0.25">
      <c r="C791" s="35" t="s">
        <v>261</v>
      </c>
      <c r="D791" s="32">
        <f>IF('TABELA 1'!B1011&gt;0,'TABELA 1'!B1011,0)</f>
        <v>0.6</v>
      </c>
    </row>
    <row r="792" spans="3:4" x14ac:dyDescent="0.25">
      <c r="C792" s="35" t="s">
        <v>262</v>
      </c>
      <c r="D792" s="32">
        <f>IF('TABELA 1'!B1012&gt;0,'TABELA 1'!B1012,0)</f>
        <v>0.16666666666666666</v>
      </c>
    </row>
    <row r="793" spans="3:4" x14ac:dyDescent="0.25">
      <c r="C793" s="35" t="s">
        <v>263</v>
      </c>
      <c r="D793" s="32">
        <f>IF('TABELA 1'!B1013&gt;0,'TABELA 1'!B1013,0)</f>
        <v>0.73333333333333328</v>
      </c>
    </row>
    <row r="794" spans="3:4" x14ac:dyDescent="0.25">
      <c r="C794" s="36" t="s">
        <v>264</v>
      </c>
      <c r="D794" s="37">
        <f>IF('TABELA 1'!B1014&gt;0,'TABELA 1'!B1014,0)</f>
        <v>0.6</v>
      </c>
    </row>
    <row r="798" spans="3:4" ht="15.6" x14ac:dyDescent="0.3">
      <c r="C798" s="29" t="s">
        <v>1012</v>
      </c>
    </row>
    <row r="799" spans="3:4" ht="15.6" x14ac:dyDescent="0.3">
      <c r="C799" s="30" t="s">
        <v>804</v>
      </c>
      <c r="D799" s="28" t="s">
        <v>1033</v>
      </c>
    </row>
    <row r="800" spans="3:4" x14ac:dyDescent="0.25">
      <c r="C800" s="35" t="s">
        <v>266</v>
      </c>
      <c r="D800" s="32">
        <f>IF('TABELA 1'!B1030&gt;0,'TABELA 1'!B1030,0)</f>
        <v>0.4</v>
      </c>
    </row>
    <row r="801" spans="3:4" x14ac:dyDescent="0.25">
      <c r="C801" s="35" t="s">
        <v>267</v>
      </c>
      <c r="D801" s="32">
        <f>IF('TABELA 1'!B1031&gt;0,'TABELA 1'!B1031,0)</f>
        <v>0.96666666666666667</v>
      </c>
    </row>
    <row r="802" spans="3:4" x14ac:dyDescent="0.25">
      <c r="C802" s="35" t="s">
        <v>268</v>
      </c>
      <c r="D802" s="32">
        <f>IF('TABELA 1'!B1032&gt;0,'TABELA 1'!B1032,0)</f>
        <v>0.3</v>
      </c>
    </row>
    <row r="803" spans="3:4" x14ac:dyDescent="0.25">
      <c r="C803" s="36" t="s">
        <v>269</v>
      </c>
      <c r="D803" s="37">
        <f>IF('TABELA 1'!B1033&gt;0,'TABELA 1'!B1033,0)</f>
        <v>6.6666666666666666E-2</v>
      </c>
    </row>
    <row r="807" spans="3:4" ht="15.6" x14ac:dyDescent="0.3">
      <c r="C807" s="29" t="s">
        <v>1013</v>
      </c>
    </row>
    <row r="808" spans="3:4" ht="15.6" x14ac:dyDescent="0.3">
      <c r="C808" s="30" t="s">
        <v>804</v>
      </c>
      <c r="D808" s="28" t="s">
        <v>1033</v>
      </c>
    </row>
    <row r="809" spans="3:4" x14ac:dyDescent="0.25">
      <c r="C809" s="31" t="str">
        <f>IF('TABELA 1'!A493&gt;0,'TABELA 1'!A493,"")</f>
        <v>Artificial</v>
      </c>
      <c r="D809" s="32">
        <f>IF('TABELA 1'!B493&gt;0,'TABELA 1'!B493,"")</f>
        <v>0.93333333333333335</v>
      </c>
    </row>
    <row r="810" spans="3:4" x14ac:dyDescent="0.25">
      <c r="C810" s="31" t="str">
        <f>IF('TABELA 1'!A494&gt;0,'TABELA 1'!A494,"")</f>
        <v>Natural</v>
      </c>
      <c r="D810" s="32">
        <f>IF('TABELA 1'!B494&gt;0,'TABELA 1'!B494,"")</f>
        <v>6.6666666666666666E-2</v>
      </c>
    </row>
    <row r="811" spans="3:4" ht="15.6" x14ac:dyDescent="0.3">
      <c r="C811" s="33" t="s">
        <v>805</v>
      </c>
      <c r="D811" s="34">
        <f>SUM(D809:D810)</f>
        <v>1</v>
      </c>
    </row>
    <row r="815" spans="3:4" ht="15.6" x14ac:dyDescent="0.3">
      <c r="C815" s="29" t="s">
        <v>1015</v>
      </c>
    </row>
    <row r="816" spans="3:4" ht="15.6" x14ac:dyDescent="0.3">
      <c r="C816" s="30" t="s">
        <v>804</v>
      </c>
      <c r="D816" s="28" t="s">
        <v>1033</v>
      </c>
    </row>
    <row r="817" spans="3:4" x14ac:dyDescent="0.25">
      <c r="C817" s="31" t="str">
        <f>IF('TABELA 1'!A502&gt;0,'TABELA 1'!A502,"")</f>
        <v>Idade das novilhas</v>
      </c>
      <c r="D817" s="32">
        <f>IF('TABELA 1'!B502&gt;0,'TABELA 1'!B502,"")</f>
        <v>3.3333333333333333E-2</v>
      </c>
    </row>
    <row r="818" spans="3:4" x14ac:dyDescent="0.25">
      <c r="C818" s="31" t="str">
        <f>IF('TABELA 1'!A503&gt;0,'TABELA 1'!A503,"")</f>
        <v>Peso das novilhas</v>
      </c>
      <c r="D818" s="32">
        <f>IF('TABELA 1'!B503&gt;0,'TABELA 1'!B503,"")</f>
        <v>0.3</v>
      </c>
    </row>
    <row r="819" spans="3:4" x14ac:dyDescent="0.25">
      <c r="C819" s="31" t="str">
        <f>IF('TABELA 1'!A504&gt;0,'TABELA 1'!A504,"")</f>
        <v>Idade e peso das novilhas</v>
      </c>
      <c r="D819" s="32">
        <f>IF('TABELA 1'!B504&gt;0,'TABELA 1'!B504,"")</f>
        <v>0.6333333333333333</v>
      </c>
    </row>
    <row r="820" spans="3:4" x14ac:dyDescent="0.25">
      <c r="C820" s="31" t="str">
        <f>IF('TABELA 1'!A505&gt;0,'TABELA 1'!A505,"")</f>
        <v>Não tem critério definido</v>
      </c>
      <c r="D820" s="32">
        <f>IF('TABELA 1'!B505&gt;0,'TABELA 1'!B505,"")</f>
        <v>3.3333333333333333E-2</v>
      </c>
    </row>
    <row r="821" spans="3:4" ht="15.6" x14ac:dyDescent="0.3">
      <c r="C821" s="33" t="s">
        <v>805</v>
      </c>
      <c r="D821" s="34">
        <f>SUM(D817:D820)</f>
        <v>0.99999999999999989</v>
      </c>
    </row>
    <row r="825" spans="3:4" ht="15.6" x14ac:dyDescent="0.3">
      <c r="C825" s="29" t="s">
        <v>1025</v>
      </c>
    </row>
    <row r="826" spans="3:4" ht="15.6" x14ac:dyDescent="0.3">
      <c r="C826" s="30" t="s">
        <v>804</v>
      </c>
      <c r="D826" s="28" t="s">
        <v>1033</v>
      </c>
    </row>
    <row r="827" spans="3:4" x14ac:dyDescent="0.25">
      <c r="C827" s="35" t="s">
        <v>275</v>
      </c>
      <c r="D827" s="32">
        <f>IF('TABELA 1'!B1054&gt;0,'TABELA 1'!B1054,0)</f>
        <v>0.33333333333333331</v>
      </c>
    </row>
    <row r="828" spans="3:4" x14ac:dyDescent="0.25">
      <c r="C828" s="35" t="s">
        <v>276</v>
      </c>
      <c r="D828" s="32">
        <f>IF('TABELA 1'!B1055&gt;0,'TABELA 1'!B1055,0)</f>
        <v>0.43333333333333335</v>
      </c>
    </row>
    <row r="829" spans="3:4" x14ac:dyDescent="0.25">
      <c r="C829" s="35" t="s">
        <v>277</v>
      </c>
      <c r="D829" s="32">
        <f>IF('TABELA 1'!B1056&gt;0,'TABELA 1'!B1056,0)</f>
        <v>0.1</v>
      </c>
    </row>
    <row r="830" spans="3:4" x14ac:dyDescent="0.25">
      <c r="C830" s="35" t="s">
        <v>278</v>
      </c>
      <c r="D830" s="32">
        <f>IF('TABELA 1'!B1057&gt;0,'TABELA 1'!B1057,0)</f>
        <v>0.96666666666666667</v>
      </c>
    </row>
    <row r="831" spans="3:4" x14ac:dyDescent="0.25">
      <c r="C831" s="36" t="s">
        <v>279</v>
      </c>
      <c r="D831" s="37">
        <f>IF('TABELA 1'!B1058&gt;0,'TABELA 1'!B1058,0)</f>
        <v>0.1</v>
      </c>
    </row>
    <row r="835" spans="3:4" ht="15.6" x14ac:dyDescent="0.3">
      <c r="C835" s="51" t="s">
        <v>1026</v>
      </c>
      <c r="D835" s="52"/>
    </row>
    <row r="839" spans="3:4" ht="15.6" x14ac:dyDescent="0.3">
      <c r="C839" s="29" t="s">
        <v>1036</v>
      </c>
    </row>
    <row r="840" spans="3:4" ht="15.6" x14ac:dyDescent="0.3">
      <c r="C840" s="30" t="s">
        <v>804</v>
      </c>
      <c r="D840" s="28" t="s">
        <v>1033</v>
      </c>
    </row>
    <row r="841" spans="3:4" x14ac:dyDescent="0.25">
      <c r="C841" s="31" t="str">
        <f>IF('TABELA 1'!A513&gt;0,'TABELA 1'!A513,"")</f>
        <v>Concorda</v>
      </c>
      <c r="D841" s="32">
        <f>IF('TABELA 1'!B513&gt;0,'TABELA 1'!B513,"")</f>
        <v>0.83333333333333337</v>
      </c>
    </row>
    <row r="842" spans="3:4" x14ac:dyDescent="0.25">
      <c r="C842" s="31" t="str">
        <f>IF('TABELA 1'!A514&gt;0,'TABELA 1'!A514,"")</f>
        <v>Não concorda</v>
      </c>
      <c r="D842" s="32">
        <f>IF('TABELA 1'!B514&gt;0,'TABELA 1'!B514,"")</f>
        <v>0.13333333333333333</v>
      </c>
    </row>
    <row r="843" spans="3:4" x14ac:dyDescent="0.25">
      <c r="C843" s="31" t="str">
        <f>IF('TABELA 1'!A515&gt;0,'TABELA 1'!A515,"")</f>
        <v>Não sabe</v>
      </c>
      <c r="D843" s="32">
        <f>IF('TABELA 1'!B515&gt;0,'TABELA 1'!B515,"")</f>
        <v>3.3333333333333333E-2</v>
      </c>
    </row>
    <row r="844" spans="3:4" ht="15.6" x14ac:dyDescent="0.3">
      <c r="C844" s="33" t="s">
        <v>805</v>
      </c>
      <c r="D844" s="34">
        <f>SUM(D841:D843)</f>
        <v>1</v>
      </c>
    </row>
    <row r="848" spans="3:4" ht="15.6" x14ac:dyDescent="0.3">
      <c r="C848" s="29" t="s">
        <v>1038</v>
      </c>
    </row>
    <row r="849" spans="3:4" ht="15.6" x14ac:dyDescent="0.3">
      <c r="C849" s="30" t="s">
        <v>804</v>
      </c>
      <c r="D849" s="28" t="s">
        <v>1033</v>
      </c>
    </row>
    <row r="850" spans="3:4" x14ac:dyDescent="0.25">
      <c r="C850" s="31" t="str">
        <f>IF('TABELA 1'!A523&gt;0,'TABELA 1'!A523,"")</f>
        <v>Concorda</v>
      </c>
      <c r="D850" s="32">
        <f>IF('TABELA 1'!B523&gt;0,'TABELA 1'!B523,"")</f>
        <v>1</v>
      </c>
    </row>
    <row r="851" spans="3:4" ht="15.6" x14ac:dyDescent="0.3">
      <c r="C851" s="33" t="s">
        <v>805</v>
      </c>
      <c r="D851" s="34">
        <f>SUM(D850:D850)</f>
        <v>1</v>
      </c>
    </row>
    <row r="855" spans="3:4" ht="15.6" x14ac:dyDescent="0.3">
      <c r="C855" s="29" t="s">
        <v>1037</v>
      </c>
    </row>
    <row r="856" spans="3:4" ht="15.6" x14ac:dyDescent="0.3">
      <c r="C856" s="30" t="s">
        <v>804</v>
      </c>
      <c r="D856" s="28" t="s">
        <v>1033</v>
      </c>
    </row>
    <row r="857" spans="3:4" x14ac:dyDescent="0.25">
      <c r="C857" s="31" t="str">
        <f>IF('TABELA 1'!A531&gt;0,'TABELA 1'!A531,"")</f>
        <v>Concorda</v>
      </c>
      <c r="D857" s="32">
        <f>IF('TABELA 1'!B531&gt;0,'TABELA 1'!B531,"")</f>
        <v>0.8</v>
      </c>
    </row>
    <row r="858" spans="3:4" x14ac:dyDescent="0.25">
      <c r="C858" s="31" t="str">
        <f>IF('TABELA 1'!A532&gt;0,'TABELA 1'!A532,"")</f>
        <v>Não concorda</v>
      </c>
      <c r="D858" s="32">
        <f>IF('TABELA 1'!B532&gt;0,'TABELA 1'!B532,"")</f>
        <v>0.2</v>
      </c>
    </row>
    <row r="859" spans="3:4" ht="15.6" x14ac:dyDescent="0.3">
      <c r="C859" s="33" t="s">
        <v>805</v>
      </c>
      <c r="D859" s="34">
        <f>SUM(D857:D858)</f>
        <v>1</v>
      </c>
    </row>
    <row r="863" spans="3:4" ht="15.6" x14ac:dyDescent="0.3">
      <c r="C863" s="29" t="s">
        <v>1027</v>
      </c>
    </row>
    <row r="864" spans="3:4" ht="15.6" x14ac:dyDescent="0.3">
      <c r="C864" s="30" t="s">
        <v>804</v>
      </c>
      <c r="D864" s="28" t="s">
        <v>1033</v>
      </c>
    </row>
    <row r="865" spans="3:4" x14ac:dyDescent="0.25">
      <c r="C865" s="31" t="str">
        <f>IF('TABELA 1'!A540&gt;0,'TABELA 1'!A540,"")</f>
        <v>Sim</v>
      </c>
      <c r="D865" s="32">
        <f>IF('TABELA 1'!B540&gt;0,'TABELA 1'!B540,"")</f>
        <v>0.36666666666666664</v>
      </c>
    </row>
    <row r="866" spans="3:4" x14ac:dyDescent="0.25">
      <c r="C866" s="31" t="str">
        <f>IF('TABELA 1'!A541&gt;0,'TABELA 1'!A541,"")</f>
        <v>Não</v>
      </c>
      <c r="D866" s="32">
        <f>IF('TABELA 1'!B541&gt;0,'TABELA 1'!B541,"")</f>
        <v>0.6333333333333333</v>
      </c>
    </row>
    <row r="867" spans="3:4" ht="15.6" x14ac:dyDescent="0.3">
      <c r="C867" s="33" t="s">
        <v>805</v>
      </c>
      <c r="D867" s="34">
        <f>SUM(D865:D866)</f>
        <v>1</v>
      </c>
    </row>
    <row r="871" spans="3:4" ht="15.6" x14ac:dyDescent="0.3">
      <c r="C871" s="29" t="s">
        <v>1028</v>
      </c>
    </row>
    <row r="872" spans="3:4" ht="15.6" x14ac:dyDescent="0.3">
      <c r="C872" s="30" t="s">
        <v>804</v>
      </c>
      <c r="D872" s="45" t="s">
        <v>1033</v>
      </c>
    </row>
    <row r="873" spans="3:4" x14ac:dyDescent="0.25">
      <c r="C873" s="46" t="str">
        <f>IF('TABELA 1'!A549&gt;0,'TABELA 1'!A549,"")</f>
        <v>Muito importante</v>
      </c>
      <c r="D873" s="47">
        <f>IF('TABELA 1'!B549&gt;0,'TABELA 1'!B549,"")</f>
        <v>0.66666666666666663</v>
      </c>
    </row>
    <row r="874" spans="3:4" x14ac:dyDescent="0.25">
      <c r="C874" s="31" t="str">
        <f>IF('TABELA 1'!A550&gt;0,'TABELA 1'!A550,"")</f>
        <v>Pouco importante</v>
      </c>
      <c r="D874" s="32">
        <f>IF('TABELA 1'!B550&gt;0,'TABELA 1'!B550,"")</f>
        <v>0.16666666666666666</v>
      </c>
    </row>
    <row r="875" spans="3:4" x14ac:dyDescent="0.25">
      <c r="C875" s="31" t="str">
        <f>IF('TABELA 1'!A551&gt;0,'TABELA 1'!A551,"")</f>
        <v>Não é importante</v>
      </c>
      <c r="D875" s="32">
        <f>IF('TABELA 1'!B551&gt;0,'TABELA 1'!B551,"")</f>
        <v>0.1</v>
      </c>
    </row>
    <row r="876" spans="3:4" x14ac:dyDescent="0.25">
      <c r="C876" s="31" t="str">
        <f>IF('TABELA 1'!A552&gt;0,'TABELA 1'!A552,"")</f>
        <v>Não sabe</v>
      </c>
      <c r="D876" s="32">
        <f>IF('TABELA 1'!B552&gt;0,'TABELA 1'!B552,"")</f>
        <v>6.6666666666666666E-2</v>
      </c>
    </row>
    <row r="877" spans="3:4" ht="15.6" x14ac:dyDescent="0.3">
      <c r="C877" s="33" t="s">
        <v>805</v>
      </c>
      <c r="D877" s="34">
        <f>SUM(D873:D876)</f>
        <v>0.99999999999999989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C412:D412"/>
    <mergeCell ref="C51:D51"/>
    <mergeCell ref="C11:D11"/>
    <mergeCell ref="C106:D106"/>
    <mergeCell ref="C204:D204"/>
    <mergeCell ref="C369:D369"/>
    <mergeCell ref="C462:D462"/>
    <mergeCell ref="C563:D563"/>
    <mergeCell ref="C626:D626"/>
    <mergeCell ref="C695:D695"/>
    <mergeCell ref="C835:D835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83" orientation="portrait" horizontalDpi="1200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1</vt:lpstr>
      <vt:lpstr>TABELA 1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Provezano</dc:creator>
  <cp:lastModifiedBy>Adriano Provezano</cp:lastModifiedBy>
  <cp:lastPrinted>2026-08-04T05:28:12Z</cp:lastPrinted>
  <dcterms:created xsi:type="dcterms:W3CDTF">2026-07-17T17:14:01Z</dcterms:created>
  <dcterms:modified xsi:type="dcterms:W3CDTF">2026-08-11T16:58:18Z</dcterms:modified>
</cp:coreProperties>
</file>